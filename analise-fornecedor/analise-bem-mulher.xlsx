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Produtos" sheetId="3" state="visible" r:id="rId5"/>
    <sheet name="Kits" sheetId="4" state="visible" r:id="rId6"/>
  </sheets>
  <definedNames>
    <definedName function="false" hidden="true" localSheetId="2" name="_xlnm._FilterDatabase" vbProcedure="false">Produtos!$A$1:$Y$185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Preço mostrado no site do fornecedor (Bem Mulher, página Loja de R$10), lido dos prints enviados. Quando a qtd na caixa é maior que 1, é o preço da caixa inteira.</t>
        </r>
      </text>
    </comment>
    <comment ref="I1" authorId="0">
      <text>
        <r>
          <rPr>
            <sz val="10"/>
            <rFont val="Arial"/>
            <family val="2"/>
          </rPr>
          <t xml:space="preserve">Preços encontrados em lojas online por busca na internet (set/2026). "Estimado" = produto exato não encontrado; valor baseado em produtos parecidos.</t>
        </r>
      </text>
    </comment>
    <comment ref="M1" authorId="0">
      <text>
        <r>
          <rPr>
            <sz val="10"/>
            <rFont val="Arial"/>
            <family val="2"/>
          </rPr>
          <t xml:space="preserve">= Preço de venda − desconto Pix − taxa de pagamento − custo − embalagem (ver aba Premissas).</t>
        </r>
      </text>
    </comment>
    <comment ref="X1" authorId="0">
      <text>
        <r>
          <rPr>
            <sz val="10"/>
            <rFont val="Arial"/>
            <family val="2"/>
          </rPr>
          <t xml:space="preserve">Caixas (quando o produto vem em caixa) ou unidades (produto avulso). Padrão: 1 caixa ou 12 unidades.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Sérum Facial Ácido Hialurônico Reflection 30ml</t>
        </r>
      </text>
    </comment>
    <comment ref="B3" authorId="0">
      <text>
        <r>
          <rPr>
            <sz val="10"/>
            <rFont val="Arial"/>
            <family val="2"/>
          </rPr>
          <t xml:space="preserve">Blush Matte Velvet Cheeks</t>
        </r>
      </text>
    </comment>
    <comment ref="B4" authorId="0">
      <text>
        <r>
          <rPr>
            <sz val="10"/>
            <rFont val="Arial"/>
            <family val="2"/>
          </rPr>
          <t xml:space="preserve">Água Micelar Pantenol e Ác. Hialurônico 200ml</t>
        </r>
      </text>
    </comment>
    <comment ref="B5" authorId="0">
      <text>
        <r>
          <rPr>
            <sz val="10"/>
            <rFont val="Arial"/>
            <family val="2"/>
          </rPr>
          <t xml:space="preserve">Cílios Postiços 8D (F007/F011/F012/F015/F019/F020/F022)</t>
        </r>
      </text>
    </comment>
    <comment ref="B6" authorId="0">
      <text>
        <r>
          <rPr>
            <sz val="10"/>
            <rFont val="Arial"/>
            <family val="2"/>
          </rPr>
          <t xml:space="preserve">Tint Brow Preenche Sobrancelha</t>
        </r>
      </text>
    </comment>
    <comment ref="B7" authorId="0">
      <text>
        <r>
          <rPr>
            <sz val="10"/>
            <rFont val="Arial"/>
            <family val="2"/>
          </rPr>
          <t xml:space="preserve">Lip Oil Fruit Juice (LG007)</t>
        </r>
      </text>
    </comment>
    <comment ref="B8" authorId="0">
      <text>
        <r>
          <rPr>
            <sz val="10"/>
            <rFont val="Arial"/>
            <family val="2"/>
          </rPr>
          <t xml:space="preserve">Body Splash 120ml femininos (7 fragrâncias)</t>
        </r>
      </text>
    </comment>
    <comment ref="B9" authorId="0">
      <text>
        <r>
          <rPr>
            <sz val="10"/>
            <rFont val="Arial"/>
            <family val="2"/>
          </rPr>
          <t xml:space="preserve">Body Splash For Men 120ml (3 fragrâncias)</t>
        </r>
      </text>
    </comment>
    <comment ref="B10" authorId="0">
      <text>
        <r>
          <rPr>
            <sz val="10"/>
            <rFont val="Arial"/>
            <family val="2"/>
          </rPr>
          <t xml:space="preserve">Paleta de Sombras The Iconic (Cor 01 e Cor 03)</t>
        </r>
      </text>
    </comment>
    <comment ref="B11" authorId="0">
      <text>
        <r>
          <rPr>
            <sz val="10"/>
            <rFont val="Arial"/>
            <family val="2"/>
          </rPr>
          <t xml:space="preserve">Corretivo em Bastão Color Cover</t>
        </r>
      </text>
    </comment>
    <comment ref="B12" authorId="0">
      <text>
        <r>
          <rPr>
            <sz val="10"/>
            <rFont val="Arial"/>
            <family val="2"/>
          </rPr>
          <t xml:space="preserve">Blush Stick Multifuncional (BF10197)</t>
        </r>
      </text>
    </comment>
    <comment ref="C2" authorId="0">
      <text>
        <r>
          <rPr>
            <sz val="10"/>
            <rFont val="Arial"/>
            <family val="2"/>
          </rPr>
          <t xml:space="preserve">Sérum Facial Vitamina C Reflection 30ml</t>
        </r>
      </text>
    </comment>
    <comment ref="C3" authorId="0">
      <text>
        <r>
          <rPr>
            <sz val="10"/>
            <rFont val="Arial"/>
            <family val="2"/>
          </rPr>
          <t xml:space="preserve">Contorno Velvet (DP2471)</t>
        </r>
      </text>
    </comment>
    <comment ref="C4" authorId="0">
      <text>
        <r>
          <rPr>
            <sz val="10"/>
            <rFont val="Arial"/>
            <family val="2"/>
          </rPr>
          <t xml:space="preserve">Tônico Facial Ácido Glicólico 200ml</t>
        </r>
      </text>
    </comment>
    <comment ref="C5" authorId="0">
      <text>
        <r>
          <rPr>
            <sz val="10"/>
            <rFont val="Arial"/>
            <family val="2"/>
          </rPr>
          <t xml:space="preserve">Cílios Postiços 8D (F007/F011/F012/F015/F019/F020/F022)</t>
        </r>
      </text>
    </comment>
    <comment ref="C6" authorId="0">
      <text>
        <r>
          <rPr>
            <sz val="10"/>
            <rFont val="Arial"/>
            <family val="2"/>
          </rPr>
          <t xml:space="preserve">Gel Fixador de Sobrancelhas com Pente</t>
        </r>
      </text>
    </comment>
    <comment ref="C7" authorId="0">
      <text>
        <r>
          <rPr>
            <sz val="10"/>
            <rFont val="Arial"/>
            <family val="2"/>
          </rPr>
          <t xml:space="preserve">Lip Gloss Alta Pigmentação</t>
        </r>
      </text>
    </comment>
    <comment ref="C8" authorId="0">
      <text>
        <r>
          <rPr>
            <sz val="10"/>
            <rFont val="Arial"/>
            <family val="2"/>
          </rPr>
          <t xml:space="preserve">Hidratante Body Cream 120ml (4 fragrâncias)</t>
        </r>
      </text>
    </comment>
    <comment ref="C9" authorId="0">
      <text>
        <r>
          <rPr>
            <sz val="10"/>
            <rFont val="Arial"/>
            <family val="2"/>
          </rPr>
          <t xml:space="preserve">Body Splash For Men 120ml (3 fragrâncias)</t>
        </r>
      </text>
    </comment>
    <comment ref="C10" authorId="0">
      <text>
        <r>
          <rPr>
            <sz val="10"/>
            <rFont val="Arial"/>
            <family val="2"/>
          </rPr>
          <t xml:space="preserve">Blush Líquido The Pink Multiuso</t>
        </r>
      </text>
    </comment>
    <comment ref="C11" authorId="0">
      <text>
        <r>
          <rPr>
            <sz val="10"/>
            <rFont val="Arial"/>
            <family val="2"/>
          </rPr>
          <t xml:space="preserve">Contorno em Bastão Color Contour</t>
        </r>
      </text>
    </comment>
    <comment ref="C12" authorId="0">
      <text>
        <r>
          <rPr>
            <sz val="10"/>
            <rFont val="Arial"/>
            <family val="2"/>
          </rPr>
          <t xml:space="preserve">Iluminador Stick Multifuncional</t>
        </r>
      </text>
    </comment>
    <comment ref="D2" authorId="0">
      <text>
        <r>
          <rPr>
            <sz val="10"/>
            <rFont val="Arial"/>
            <family val="2"/>
          </rPr>
          <t xml:space="preserve">Sérum Facial Clareador Reflection 30ml</t>
        </r>
      </text>
    </comment>
    <comment ref="D3" authorId="0">
      <text>
        <r>
          <rPr>
            <sz val="10"/>
            <rFont val="Arial"/>
            <family val="2"/>
          </rPr>
          <t xml:space="preserve">Iluminador Velvet Glow</t>
        </r>
      </text>
    </comment>
    <comment ref="D4" authorId="0">
      <text>
        <r>
          <rPr>
            <sz val="10"/>
            <rFont val="Arial"/>
            <family val="2"/>
          </rPr>
          <t xml:space="preserve">Loção Adstringente Chá Verde 200ml</t>
        </r>
      </text>
    </comment>
    <comment ref="D5" authorId="0">
      <text>
        <r>
          <rPr>
            <sz val="10"/>
            <rFont val="Arial"/>
            <family val="2"/>
          </rPr>
          <t xml:space="preserve">Cílios Postiços 8D (F007/F011/F012/F015/F019/F020/F022)</t>
        </r>
      </text>
    </comment>
    <comment ref="D6" authorId="0">
      <text>
        <r>
          <rPr>
            <sz val="10"/>
            <rFont val="Arial"/>
            <family val="2"/>
          </rPr>
          <t xml:space="preserve">Máscara para Sobrancelhas Tatoo Brow</t>
        </r>
      </text>
    </comment>
    <comment ref="D7" authorId="0">
      <text>
        <r>
          <rPr>
            <sz val="10"/>
            <rFont val="Arial"/>
            <family val="2"/>
          </rPr>
          <t xml:space="preserve">Batom Brilho Natural</t>
        </r>
      </text>
    </comment>
    <comment ref="D10" authorId="0">
      <text>
        <r>
          <rPr>
            <sz val="10"/>
            <rFont val="Arial"/>
            <family val="2"/>
          </rPr>
          <t xml:space="preserve">Contorno em Bastão Color Contour</t>
        </r>
      </text>
    </comment>
    <comment ref="D11" authorId="0">
      <text>
        <r>
          <rPr>
            <sz val="10"/>
            <rFont val="Arial"/>
            <family val="2"/>
          </rPr>
          <t xml:space="preserve">Blush Líquido Multifuncional</t>
        </r>
      </text>
    </comment>
    <comment ref="D12" authorId="0">
      <text>
        <r>
          <rPr>
            <sz val="10"/>
            <rFont val="Arial"/>
            <family val="2"/>
          </rPr>
          <t xml:space="preserve">Corretivo Stick Multifuncional</t>
        </r>
      </text>
    </comment>
    <comment ref="E3" authorId="0">
      <text>
        <r>
          <rPr>
            <sz val="10"/>
            <rFont val="Arial"/>
            <family val="2"/>
          </rPr>
          <t xml:space="preserve">Pó de Tapioca Lilás Selva Neon</t>
        </r>
      </text>
    </comment>
    <comment ref="E5" authorId="0">
      <text>
        <r>
          <rPr>
            <sz val="10"/>
            <rFont val="Arial"/>
            <family val="2"/>
          </rPr>
          <t xml:space="preserve">Máscara para Cílios 36h Curva e Volume</t>
        </r>
      </text>
    </comment>
    <comment ref="E6" authorId="0">
      <text>
        <r>
          <rPr>
            <sz val="10"/>
            <rFont val="Arial"/>
            <family val="2"/>
          </rPr>
          <t xml:space="preserve">Kit de Pinças para Sobrancelha (4 pinças)</t>
        </r>
      </text>
    </comment>
    <comment ref="E10" authorId="0">
      <text>
        <r>
          <rPr>
            <sz val="10"/>
            <rFont val="Arial"/>
            <family val="2"/>
          </rPr>
          <t xml:space="preserve">Primer Hidratante Hidro 45ml (CS6372)</t>
        </r>
      </text>
    </comment>
    <comment ref="E11" authorId="0">
      <text>
        <r>
          <rPr>
            <sz val="10"/>
            <rFont val="Arial"/>
            <family val="2"/>
          </rPr>
          <t xml:space="preserve">Primer Hidratante Hidro 45ml (CS6372)</t>
        </r>
      </text>
    </comment>
    <comment ref="F5" authorId="0">
      <text>
        <r>
          <rPr>
            <sz val="10"/>
            <rFont val="Arial"/>
            <family val="2"/>
          </rPr>
          <t xml:space="preserve">Máscara para Sobrancelhas Tatoo Brow</t>
        </r>
      </text>
    </comment>
  </commentList>
</comments>
</file>

<file path=xl/sharedStrings.xml><?xml version="1.0" encoding="utf-8"?>
<sst xmlns="http://schemas.openxmlformats.org/spreadsheetml/2006/main" count="1507" uniqueCount="621">
  <si>
    <t xml:space="preserve">Análise do fornecedor Bem Mulher (Loja de R$10)</t>
  </si>
  <si>
    <t xml:space="preserve">Atualizada a cada leva de prints. Produtos com "S" em "Vou comprar?" entram nas contas abaixo, na quantidade da coluna "Quantas caixas/unidades comprar" (aba Produtos).</t>
  </si>
  <si>
    <t xml:space="preserve">Indicador</t>
  </si>
  <si>
    <t xml:space="preserve">Valor</t>
  </si>
  <si>
    <t xml:space="preserve">Produtos analisados</t>
  </si>
  <si>
    <t xml:space="preserve">Produtos marcados para comprar</t>
  </si>
  <si>
    <t xml:space="preserve">Investimento no fornecedor</t>
  </si>
  <si>
    <t xml:space="preserve">Unidades compradas</t>
  </si>
  <si>
    <t xml:space="preserve">Faturamento se vender tudo no seu site</t>
  </si>
  <si>
    <t xml:space="preserve">Lucro se vender tudo no seu site</t>
  </si>
  <si>
    <t xml:space="preserve">Retorno sobre o investimento</t>
  </si>
  <si>
    <t xml:space="preserve">Meta de lucro por mês</t>
  </si>
  <si>
    <t xml:space="preserve">Como usar</t>
  </si>
  <si>
    <t xml:space="preserve">• Texto azul com fundo amarelo = você pode alterar (preço de venda, "Vou comprar?", premissas, preço dos kits).</t>
  </si>
  <si>
    <t xml:space="preserve">• Preço internet "Estimado" (em dourado) = produto exato não achado; confira no Mercado Livre antes de definir o preço.</t>
  </si>
  <si>
    <t xml:space="preserve">• Lucro em vermelho = você perde dinheiro nesse canal com esse preço. No Mercado Livre e na Shopee, prefira vender em kit.</t>
  </si>
  <si>
    <t xml:space="preserve">• Use o filtro do cabeçalho na aba Produtos para ordenar por lucro, categoria ou lote.</t>
  </si>
  <si>
    <t xml:space="preserve">• Taxas do Mercado Livre e da Shopee são aproximadas: confira as atuais e ajuste na aba Premissas.</t>
  </si>
  <si>
    <t xml:space="preserve">Premissas usadas nas contas</t>
  </si>
  <si>
    <t xml:space="preserve">Células em amarelo com texto azul podem ser alteradas. O resto da planilha se atualiza sozinho.</t>
  </si>
  <si>
    <t xml:space="preserve">Premissa</t>
  </si>
  <si>
    <t xml:space="preserve">Observação</t>
  </si>
  <si>
    <t xml:space="preserve">Desconto Pix no seu site</t>
  </si>
  <si>
    <t xml:space="preserve">Configuração atual da loja Élan Beauté</t>
  </si>
  <si>
    <t xml:space="preserve">Taxa do meio de pagamento (seu site)</t>
  </si>
  <si>
    <t xml:space="preserve">Estimativa para Pix; cartão costuma ser 3–5%</t>
  </si>
  <si>
    <t xml:space="preserve">Embalagem por pedido/unidade (R$)</t>
  </si>
  <si>
    <t xml:space="preserve">Estimativa: saquinho + etiqueta</t>
  </si>
  <si>
    <t xml:space="preserve">Mercado Livre: comissão</t>
  </si>
  <si>
    <t xml:space="preserve">Aproximado (anúncio clássico, beleza). Confira a taxa atual</t>
  </si>
  <si>
    <t xml:space="preserve">Mercado Livre: taxa fixa por venda abaixo de R$ 79 (R$)</t>
  </si>
  <si>
    <t xml:space="preserve">Aproximado. Confira a taxa atual</t>
  </si>
  <si>
    <t xml:space="preserve">Shopee: comissão + frete grátis</t>
  </si>
  <si>
    <t xml:space="preserve">Shopee: taxa fixa por item (R$)</t>
  </si>
  <si>
    <t xml:space="preserve">Meta de lucro por mês (R$)</t>
  </si>
  <si>
    <t xml:space="preserve">Valor de exemplo: coloque a sua meta</t>
  </si>
  <si>
    <t xml:space="preserve">ID</t>
  </si>
  <si>
    <t xml:space="preserve">Produto</t>
  </si>
  <si>
    <t xml:space="preserve">Marca</t>
  </si>
  <si>
    <t xml:space="preserve">Categoria</t>
  </si>
  <si>
    <t xml:space="preserve">Lote (print)</t>
  </si>
  <si>
    <t xml:space="preserve">Qtd na caixa</t>
  </si>
  <si>
    <t xml:space="preserve">Preço no fornecedor</t>
  </si>
  <si>
    <t xml:space="preserve">Custo por unidade</t>
  </si>
  <si>
    <t xml:space="preserve">Internet: menor preço</t>
  </si>
  <si>
    <t xml:space="preserve">Internet: maior preço</t>
  </si>
  <si>
    <t xml:space="preserve">Preço internet é</t>
  </si>
  <si>
    <t xml:space="preserve">Seu preço de venda</t>
  </si>
  <si>
    <t xml:space="preserve">Lucro/un. seu site</t>
  </si>
  <si>
    <t xml:space="preserve">Margem seu site</t>
  </si>
  <si>
    <t xml:space="preserve">Lucro/un. Mercado Livre</t>
  </si>
  <si>
    <t xml:space="preserve">Lucro/un. Shopee</t>
  </si>
  <si>
    <t xml:space="preserve">Lucro da caixa (seu site)</t>
  </si>
  <si>
    <t xml:space="preserve">Unidades/mês p/ meta</t>
  </si>
  <si>
    <t xml:space="preserve">Recomendação</t>
  </si>
  <si>
    <t xml:space="preserve">Vou comprar? (S/N)</t>
  </si>
  <si>
    <t xml:space="preserve">Faturamento (se comprar)</t>
  </si>
  <si>
    <t xml:space="preserve">Lucro (se comprar)</t>
  </si>
  <si>
    <t xml:space="preserve">Quantas caixas/unidades comprar</t>
  </si>
  <si>
    <t xml:space="preserve">Investimento (se comprar)</t>
  </si>
  <si>
    <t xml:space="preserve">P01</t>
  </si>
  <si>
    <t xml:space="preserve">Pó Compacto Choco Fun</t>
  </si>
  <si>
    <t xml:space="preserve">Fenzza</t>
  </si>
  <si>
    <t xml:space="preserve">Maquiagem – Rosto</t>
  </si>
  <si>
    <t xml:space="preserve">Estimado</t>
  </si>
  <si>
    <t xml:space="preserve">Comprar</t>
  </si>
  <si>
    <t xml:space="preserve">S</t>
  </si>
  <si>
    <t xml:space="preserve">Referência: Pó Solto Choco Fun R$ 14,99</t>
  </si>
  <si>
    <t xml:space="preserve">P02</t>
  </si>
  <si>
    <t xml:space="preserve">Blush Matte Velvet Cheeks</t>
  </si>
  <si>
    <t xml:space="preserve">Dapop</t>
  </si>
  <si>
    <t xml:space="preserve">Comprar (kit Pele Perfeita)</t>
  </si>
  <si>
    <t xml:space="preserve">Linha nova; referência: outros blushes Dapop</t>
  </si>
  <si>
    <t xml:space="preserve">P03</t>
  </si>
  <si>
    <t xml:space="preserve">Blush Glow Velvet Cheeks</t>
  </si>
  <si>
    <t xml:space="preserve">Confirmar preço</t>
  </si>
  <si>
    <t xml:space="preserve">N</t>
  </si>
  <si>
    <t xml:space="preserve">Preço não apareceu no print</t>
  </si>
  <si>
    <t xml:space="preserve">P04</t>
  </si>
  <si>
    <t xml:space="preserve">Pó Translúcido Solto Soft Focus</t>
  </si>
  <si>
    <t xml:space="preserve">P05</t>
  </si>
  <si>
    <t xml:space="preserve">Bronzer Velvet (DP2470)</t>
  </si>
  <si>
    <t xml:space="preserve">Opcional</t>
  </si>
  <si>
    <t xml:space="preserve">P06</t>
  </si>
  <si>
    <t xml:space="preserve">Contorno Velvet (DP2471)</t>
  </si>
  <si>
    <t xml:space="preserve">P07</t>
  </si>
  <si>
    <t xml:space="preserve">Iluminador Velvet Glow</t>
  </si>
  <si>
    <t xml:space="preserve">P08</t>
  </si>
  <si>
    <t xml:space="preserve">Pó Facial Matificante Skin Filter</t>
  </si>
  <si>
    <t xml:space="preserve">Site diz "C/24 Unid" por R$ 5,70: confirmar se é caixa ou unidade</t>
  </si>
  <si>
    <t xml:space="preserve">P09</t>
  </si>
  <si>
    <t xml:space="preserve">Água Micelar Pantenol e Ác. Hialurônico 200ml</t>
  </si>
  <si>
    <t xml:space="preserve">Skincare</t>
  </si>
  <si>
    <t xml:space="preserve">Confirmado</t>
  </si>
  <si>
    <t xml:space="preserve">P10</t>
  </si>
  <si>
    <t xml:space="preserve">Tônico Facial Ácido Glicólico 200ml</t>
  </si>
  <si>
    <t xml:space="preserve">P11</t>
  </si>
  <si>
    <t xml:space="preserve">Demaquilante Aloe Vera e Alantoína 200ml</t>
  </si>
  <si>
    <t xml:space="preserve">P12</t>
  </si>
  <si>
    <t xml:space="preserve">Loção Adstringente Chá Verde 200ml</t>
  </si>
  <si>
    <t xml:space="preserve">Comprar (kit Rotina Skincare)</t>
  </si>
  <si>
    <t xml:space="preserve">P13</t>
  </si>
  <si>
    <t xml:space="preserve">Água Micelar Vitamina C e Ác. Hialurônico 200ml</t>
  </si>
  <si>
    <t xml:space="preserve">P14</t>
  </si>
  <si>
    <t xml:space="preserve">Água Micelar Rosa Mosqueta e Niacinamida 200ml</t>
  </si>
  <si>
    <t xml:space="preserve">P15</t>
  </si>
  <si>
    <t xml:space="preserve">Kit Esponjas Makeup Blender Puff c/4</t>
  </si>
  <si>
    <t xml:space="preserve">Mahav</t>
  </si>
  <si>
    <t xml:space="preserve">Acessórios</t>
  </si>
  <si>
    <t xml:space="preserve">P16</t>
  </si>
  <si>
    <t xml:space="preserve">Esponja Gota Makeup Blender Choco/Cherry</t>
  </si>
  <si>
    <t xml:space="preserve">Só em kit</t>
  </si>
  <si>
    <t xml:space="preserve">P17</t>
  </si>
  <si>
    <t xml:space="preserve">Esponja Chanfrada Makeup Blender Cut</t>
  </si>
  <si>
    <t xml:space="preserve">P18</t>
  </si>
  <si>
    <t xml:space="preserve">Lips e Cheeks Cream</t>
  </si>
  <si>
    <t xml:space="preserve">Miss Romantic</t>
  </si>
  <si>
    <t xml:space="preserve">Maquiagem – Lábios</t>
  </si>
  <si>
    <t xml:space="preserve">P19</t>
  </si>
  <si>
    <t xml:space="preserve">Lip Gloss Sweet</t>
  </si>
  <si>
    <t xml:space="preserve">Limitar (muitos gloss)</t>
  </si>
  <si>
    <t xml:space="preserve">P20</t>
  </si>
  <si>
    <t xml:space="preserve">Lip Liner Sweet Linha dos Lábios</t>
  </si>
  <si>
    <t xml:space="preserve">P21</t>
  </si>
  <si>
    <t xml:space="preserve">Máscara para Cílios Natural Curling</t>
  </si>
  <si>
    <t xml:space="preserve">Maquiagem – Olhos</t>
  </si>
  <si>
    <t xml:space="preserve">Trocada pela Super Poderes 36h</t>
  </si>
  <si>
    <t xml:space="preserve">P22</t>
  </si>
  <si>
    <t xml:space="preserve">Cílios Postiços 8D (F007/F011/F012/F015/F019/F020/F022)</t>
  </si>
  <si>
    <t xml:space="preserve">Sabrina Sato</t>
  </si>
  <si>
    <t xml:space="preserve">7 modelos (F015 e F020 no lote 13), mesmo preço. Pedir nota fiscal e confirmar que são originais</t>
  </si>
  <si>
    <t xml:space="preserve">P23</t>
  </si>
  <si>
    <t xml:space="preserve">Sérum Facial Ácido Hialurônico Reflection 30ml</t>
  </si>
  <si>
    <t xml:space="preserve">Safira</t>
  </si>
  <si>
    <t xml:space="preserve">Comprar (kit Pele de Vidro)</t>
  </si>
  <si>
    <t xml:space="preserve">P24</t>
  </si>
  <si>
    <t xml:space="preserve">Sérum Facial Clareador Reflection 30ml</t>
  </si>
  <si>
    <t xml:space="preserve">P25</t>
  </si>
  <si>
    <t xml:space="preserve">Sérum Facial Vitamina C Reflection 30ml</t>
  </si>
  <si>
    <t xml:space="preserve">P26</t>
  </si>
  <si>
    <t xml:space="preserve">Creme Hidratante Ureia 3% 200g</t>
  </si>
  <si>
    <t xml:space="preserve">Corpo</t>
  </si>
  <si>
    <t xml:space="preserve">Pesado: frete mais caro. Melhor no seu site</t>
  </si>
  <si>
    <t xml:space="preserve">P27</t>
  </si>
  <si>
    <t xml:space="preserve">Batom Brilho Natural</t>
  </si>
  <si>
    <t xml:space="preserve">Melana</t>
  </si>
  <si>
    <t xml:space="preserve">P28</t>
  </si>
  <si>
    <t xml:space="preserve">Lip Oil Fruit Juice (LG007)</t>
  </si>
  <si>
    <t xml:space="preserve">Hudamoji</t>
  </si>
  <si>
    <t xml:space="preserve">P29</t>
  </si>
  <si>
    <t xml:space="preserve">Lip Gloss Alta Pigmentação</t>
  </si>
  <si>
    <t xml:space="preserve">P30</t>
  </si>
  <si>
    <t xml:space="preserve">Iluminador Compacto</t>
  </si>
  <si>
    <t xml:space="preserve">JummyJu</t>
  </si>
  <si>
    <t xml:space="preserve">P31</t>
  </si>
  <si>
    <t xml:space="preserve">Máscara para Sobrancelhas Tatoo Brow</t>
  </si>
  <si>
    <t xml:space="preserve">Femme Paris</t>
  </si>
  <si>
    <t xml:space="preserve">Maquiagem – Sobrancelhas</t>
  </si>
  <si>
    <t xml:space="preserve">Comprar (kits)</t>
  </si>
  <si>
    <t xml:space="preserve">P32</t>
  </si>
  <si>
    <t xml:space="preserve">Contorno Stick</t>
  </si>
  <si>
    <t xml:space="preserve">P33</t>
  </si>
  <si>
    <t xml:space="preserve">Lip Gloss Peel-Off</t>
  </si>
  <si>
    <t xml:space="preserve">Comprar (1 das 2 linhas de gloss)</t>
  </si>
  <si>
    <t xml:space="preserve">Tendência</t>
  </si>
  <si>
    <t xml:space="preserve">P34</t>
  </si>
  <si>
    <t xml:space="preserve">Conjunto de Pentes e Acessórios c/9 peças</t>
  </si>
  <si>
    <t xml:space="preserve">—</t>
  </si>
  <si>
    <t xml:space="preserve">Cabelos</t>
  </si>
  <si>
    <t xml:space="preserve">P35</t>
  </si>
  <si>
    <t xml:space="preserve">Mini Esponja para Maquiagem c/4</t>
  </si>
  <si>
    <t xml:space="preserve">Rub… (confirmar marca)</t>
  </si>
  <si>
    <t xml:space="preserve">P36</t>
  </si>
  <si>
    <t xml:space="preserve">Pó de Tapioca Lilás Selva Neon</t>
  </si>
  <si>
    <t xml:space="preserve">Miss Rôse</t>
  </si>
  <si>
    <t xml:space="preserve">Melhor custo da lista</t>
  </si>
  <si>
    <t xml:space="preserve">P37</t>
  </si>
  <si>
    <t xml:space="preserve">Tint Brow Preenche Sobrancelha</t>
  </si>
  <si>
    <t xml:space="preserve">Wike Make</t>
  </si>
  <si>
    <t xml:space="preserve">Comprar (kit Sobrancelha)</t>
  </si>
  <si>
    <t xml:space="preserve">P38</t>
  </si>
  <si>
    <t xml:space="preserve">Gel Fixador de Sobrancelhas com Pente</t>
  </si>
  <si>
    <t xml:space="preserve">P39</t>
  </si>
  <si>
    <t xml:space="preserve">Lip Gloss Candy</t>
  </si>
  <si>
    <t xml:space="preserve">Evitar (margem baixa)</t>
  </si>
  <si>
    <t xml:space="preserve">Vendido por R$ 7,50–10 em outras lojas</t>
  </si>
  <si>
    <t xml:space="preserve">P40</t>
  </si>
  <si>
    <t xml:space="preserve">Lip Gloss Ice Cream</t>
  </si>
  <si>
    <t xml:space="preserve">P41</t>
  </si>
  <si>
    <t xml:space="preserve">Lip Gloss Pompom</t>
  </si>
  <si>
    <t xml:space="preserve">P42</t>
  </si>
  <si>
    <t xml:space="preserve">Lip Gloss com Chaveiro</t>
  </si>
  <si>
    <t xml:space="preserve">Bom para presente</t>
  </si>
  <si>
    <t xml:space="preserve">P43</t>
  </si>
  <si>
    <t xml:space="preserve">Lip Gloss (ME005)</t>
  </si>
  <si>
    <t xml:space="preserve">Belle Angel</t>
  </si>
  <si>
    <t xml:space="preserve">P44</t>
  </si>
  <si>
    <t xml:space="preserve">Hidratante Corporal Body Cream Libertad 150ml</t>
  </si>
  <si>
    <t xml:space="preserve">Cap Life</t>
  </si>
  <si>
    <t xml:space="preserve">P45</t>
  </si>
  <si>
    <t xml:space="preserve">Super Hidratante Corporal e Facial Vitamina C 150g</t>
  </si>
  <si>
    <t xml:space="preserve">Better Me</t>
  </si>
  <si>
    <t xml:space="preserve">Outras versões (pêssego, baunilha) à venda no ML/Shopee</t>
  </si>
  <si>
    <t xml:space="preserve">P46</t>
  </si>
  <si>
    <t xml:space="preserve">Super Esfoliante Corporal e Facial Vitamina C 150g</t>
  </si>
  <si>
    <t xml:space="preserve">P47</t>
  </si>
  <si>
    <t xml:space="preserve">Batom Líquido Matte Touch</t>
  </si>
  <si>
    <t xml:space="preserve">Pink 21</t>
  </si>
  <si>
    <t xml:space="preserve">Caixa com 48</t>
  </si>
  <si>
    <t xml:space="preserve">P48</t>
  </si>
  <si>
    <t xml:space="preserve">Batom Líquido Beauty</t>
  </si>
  <si>
    <t xml:space="preserve">P49</t>
  </si>
  <si>
    <t xml:space="preserve">Batom Líquido Efeito Matte All Day</t>
  </si>
  <si>
    <t xml:space="preserve">Comprar (1 linha de batom)</t>
  </si>
  <si>
    <t xml:space="preserve">Caixa com 48. Visto de R$ 10 a R$ 24,99</t>
  </si>
  <si>
    <t xml:space="preserve">P50</t>
  </si>
  <si>
    <t xml:space="preserve">Pó Solto Banana Soft Sheer</t>
  </si>
  <si>
    <t xml:space="preserve">Alleva</t>
  </si>
  <si>
    <t xml:space="preserve">Caixa com 18</t>
  </si>
  <si>
    <t xml:space="preserve">P51</t>
  </si>
  <si>
    <t xml:space="preserve">Pó Solto Translúcido Soft Sheer</t>
  </si>
  <si>
    <t xml:space="preserve">P52</t>
  </si>
  <si>
    <t xml:space="preserve">Body Splash 120ml femininos (7 fragrâncias)</t>
  </si>
  <si>
    <t xml:space="preserve">Natuza</t>
  </si>
  <si>
    <t xml:space="preserve">Perfumaria</t>
  </si>
  <si>
    <t xml:space="preserve">Obsession Pink, Libertad, Sahar Al Noor, Royal Rose, Golden Vip, Yara Zahra, Good Angel. Body splash árabe de 200ml de outras marcas sai por ~R$ 59,90</t>
  </si>
  <si>
    <t xml:space="preserve">P53</t>
  </si>
  <si>
    <t xml:space="preserve">Body Splash For Men 120ml (3 fragrâncias)</t>
  </si>
  <si>
    <t xml:space="preserve">Asad Black, Royal Black, Hayat Al Gold</t>
  </si>
  <si>
    <t xml:space="preserve">P54</t>
  </si>
  <si>
    <t xml:space="preserve">Hidratante Body Cream 120ml (4 fragrâncias)</t>
  </si>
  <si>
    <t xml:space="preserve">Comprar (kit Perfumada)</t>
  </si>
  <si>
    <t xml:space="preserve">Libertad, Obsession Pink, Good Angel, Golden Vip (lote 5)</t>
  </si>
  <si>
    <t xml:space="preserve">P55</t>
  </si>
  <si>
    <t xml:space="preserve">Pó Solto Blindagem Fix All</t>
  </si>
  <si>
    <t xml:space="preserve">P56</t>
  </si>
  <si>
    <t xml:space="preserve">Trio de Sombras Snow</t>
  </si>
  <si>
    <t xml:space="preserve">Mia Make</t>
  </si>
  <si>
    <t xml:space="preserve">P57</t>
  </si>
  <si>
    <t xml:space="preserve">Duo Lips Contorno e Batom</t>
  </si>
  <si>
    <t xml:space="preserve">Duas coleções de cores no site</t>
  </si>
  <si>
    <t xml:space="preserve">P58</t>
  </si>
  <si>
    <t xml:space="preserve">Primer Hidratante Hidro 45ml (CS6372)</t>
  </si>
  <si>
    <t xml:space="preserve">Comprar (kit Make Completa)</t>
  </si>
  <si>
    <t xml:space="preserve">P59</t>
  </si>
  <si>
    <t xml:space="preserve">Corretivo Líquido Amora</t>
  </si>
  <si>
    <t xml:space="preserve">Referência: base Amora by Pink 21 R$ 13,29</t>
  </si>
  <si>
    <t xml:space="preserve">P60</t>
  </si>
  <si>
    <t xml:space="preserve">Blush em Bastão Amora</t>
  </si>
  <si>
    <t xml:space="preserve">Referência: blush em bastão Pink 21 R$ 18,50</t>
  </si>
  <si>
    <t xml:space="preserve">P61</t>
  </si>
  <si>
    <t xml:space="preserve">Lip Gloss Candy Bear</t>
  </si>
  <si>
    <t xml:space="preserve">Evitar (muitos gloss)</t>
  </si>
  <si>
    <t xml:space="preserve">P62</t>
  </si>
  <si>
    <t xml:space="preserve">Corretivo Quick Fix We Candy Box A</t>
  </si>
  <si>
    <t xml:space="preserve">We Candy</t>
  </si>
  <si>
    <t xml:space="preserve">Caixa com 36</t>
  </si>
  <si>
    <t xml:space="preserve">P63</t>
  </si>
  <si>
    <t xml:space="preserve">Lip Gloss Fruits (3326.1.1)</t>
  </si>
  <si>
    <t xml:space="preserve">Vivai</t>
  </si>
  <si>
    <t xml:space="preserve">Evitar (vendido barato)</t>
  </si>
  <si>
    <t xml:space="preserve">Box de 24 visto por R$ 49,90 na Amazon (~R$ 2,08/un.)</t>
  </si>
  <si>
    <t xml:space="preserve">P64</t>
  </si>
  <si>
    <t xml:space="preserve">Gloss Glitter Choko (3429.1.1)</t>
  </si>
  <si>
    <t xml:space="preserve">P65</t>
  </si>
  <si>
    <t xml:space="preserve">Corretivo Líquido Acabamento Matte</t>
  </si>
  <si>
    <t xml:space="preserve">Confirmar qtd</t>
  </si>
  <si>
    <t xml:space="preserve">Qtd na caixa cortada no print: considerei 24, confirmar</t>
  </si>
  <si>
    <t xml:space="preserve">P66</t>
  </si>
  <si>
    <t xml:space="preserve">Contorno em Bastão Color Contour</t>
  </si>
  <si>
    <t xml:space="preserve">Caixa com 48: custo muito baixo</t>
  </si>
  <si>
    <t xml:space="preserve">P67</t>
  </si>
  <si>
    <t xml:space="preserve">Máscara Incolor para Sobrancelha Honey</t>
  </si>
  <si>
    <t xml:space="preserve">P68</t>
  </si>
  <si>
    <t xml:space="preserve">Lip Gloss Amora (CS7043)</t>
  </si>
  <si>
    <t xml:space="preserve">P69</t>
  </si>
  <si>
    <t xml:space="preserve">Blush Líquido The Pink Multiuso</t>
  </si>
  <si>
    <t xml:space="preserve">Blush e batom; em alta</t>
  </si>
  <si>
    <t xml:space="preserve">P70</t>
  </si>
  <si>
    <t xml:space="preserve">Delineador Líquido Peel Off Amora</t>
  </si>
  <si>
    <t xml:space="preserve">P71</t>
  </si>
  <si>
    <t xml:space="preserve">Lip Balm (CS7085)</t>
  </si>
  <si>
    <t xml:space="preserve">P72</t>
  </si>
  <si>
    <t xml:space="preserve">Paleta de Sombras The Iconic (Cor 01 e Cor 03)</t>
  </si>
  <si>
    <t xml:space="preserve">9 cores. Cor 03 no lote 6, mesmo preço. Outras paletas Pink 21 de R$ 11,99 a R$ 45,90</t>
  </si>
  <si>
    <t xml:space="preserve">P73</t>
  </si>
  <si>
    <t xml:space="preserve">Corretivo Líquido (CS5963)</t>
  </si>
  <si>
    <t xml:space="preserve">Comprar (único corretivo)</t>
  </si>
  <si>
    <t xml:space="preserve">Corretivo mais barato da lista</t>
  </si>
  <si>
    <t xml:space="preserve">P74</t>
  </si>
  <si>
    <t xml:space="preserve">Máscara para Cílios Volume e Define</t>
  </si>
  <si>
    <t xml:space="preserve">4Angels</t>
  </si>
  <si>
    <t xml:space="preserve">P75</t>
  </si>
  <si>
    <t xml:space="preserve">Batom Líquido (BR1262)</t>
  </si>
  <si>
    <t xml:space="preserve">Evitar (já tem batom)</t>
  </si>
  <si>
    <t xml:space="preserve">P76</t>
  </si>
  <si>
    <t xml:space="preserve">Lip Gloss Caramel (BR1260)</t>
  </si>
  <si>
    <t xml:space="preserve">P77</t>
  </si>
  <si>
    <t xml:space="preserve">Lip Tint (BR1255)</t>
  </si>
  <si>
    <t xml:space="preserve">Lip tint 4Angels visto por R$ 10</t>
  </si>
  <si>
    <t xml:space="preserve">P78</t>
  </si>
  <si>
    <t xml:space="preserve">Delineador Líquido (BR1250)</t>
  </si>
  <si>
    <t xml:space="preserve">P79</t>
  </si>
  <si>
    <t xml:space="preserve">Paleta de Sombras (BR1248)</t>
  </si>
  <si>
    <t xml:space="preserve">A The Iconic (Pink 21) dá mais lucro</t>
  </si>
  <si>
    <t xml:space="preserve">P80</t>
  </si>
  <si>
    <t xml:space="preserve">Corretivo Líquido Camuflagem Matte</t>
  </si>
  <si>
    <t xml:space="preserve">Evitar (tem corretivo melhor)</t>
  </si>
  <si>
    <t xml:space="preserve">P81</t>
  </si>
  <si>
    <t xml:space="preserve">Lip Oil Heart Charm (BR1228)</t>
  </si>
  <si>
    <t xml:space="preserve">P82</t>
  </si>
  <si>
    <t xml:space="preserve">Lip Oil (BR1226)</t>
  </si>
  <si>
    <t xml:space="preserve">P83</t>
  </si>
  <si>
    <t xml:space="preserve">Lip Gloss (BR1225)</t>
  </si>
  <si>
    <t xml:space="preserve">P84</t>
  </si>
  <si>
    <t xml:space="preserve">Brilho Labial Plump Cat Omg</t>
  </si>
  <si>
    <t xml:space="preserve">Love Rain</t>
  </si>
  <si>
    <t xml:space="preserve">Também vendido em caixa c/24 por R$ 145,80 (R$ 6,08/un., lote 13)</t>
  </si>
  <si>
    <t xml:space="preserve">P85</t>
  </si>
  <si>
    <t xml:space="preserve">Lenço Demaquilante 30 un. (Vit. C, Niacinamida, Retinol, Ác. Hialurônico)</t>
  </si>
  <si>
    <t xml:space="preserve">Super Poderes</t>
  </si>
  <si>
    <t xml:space="preserve">Opcional (bom para kit)</t>
  </si>
  <si>
    <t xml:space="preserve">4 versões, mesmo preço</t>
  </si>
  <si>
    <t xml:space="preserve">P86</t>
  </si>
  <si>
    <t xml:space="preserve">Corretivo em Bastão</t>
  </si>
  <si>
    <t xml:space="preserve">Evitar (Color Cover é mais barato)</t>
  </si>
  <si>
    <t xml:space="preserve">P87</t>
  </si>
  <si>
    <t xml:space="preserve">Máscara para Cílios (E-CZ223)</t>
  </si>
  <si>
    <t xml:space="preserve">P88</t>
  </si>
  <si>
    <t xml:space="preserve">Delineador Líquido Boom Eyes</t>
  </si>
  <si>
    <t xml:space="preserve">P89</t>
  </si>
  <si>
    <t xml:space="preserve">Corretivo em Bastão Color Cover</t>
  </si>
  <si>
    <t xml:space="preserve">Caixa com 48: custo muito baixo. Outros corretivos Pink 21 R$ 13,80–15,90</t>
  </si>
  <si>
    <t xml:space="preserve">P90</t>
  </si>
  <si>
    <t xml:space="preserve">Lip Gloss Honey (CS6661)</t>
  </si>
  <si>
    <t xml:space="preserve">P91</t>
  </si>
  <si>
    <t xml:space="preserve">Lápis Labial Multiuso (c/12)</t>
  </si>
  <si>
    <t xml:space="preserve">Pacote com 12: R$ 1,39 cada</t>
  </si>
  <si>
    <t xml:space="preserve">P92</t>
  </si>
  <si>
    <t xml:space="preserve">Blush Líquido Multifuncional</t>
  </si>
  <si>
    <t xml:space="preserve">Mais barato que o The Pink (R$ 3,92 x R$ 6,62). Referência: blush líquido multiuso Pink 21</t>
  </si>
  <si>
    <t xml:space="preserve">P93</t>
  </si>
  <si>
    <t xml:space="preserve">Body Splash Saarah 130ml</t>
  </si>
  <si>
    <t xml:space="preserve">Visto a R$ 6,40–6,99 em atacadistas; preço de varejo não achado</t>
  </si>
  <si>
    <t xml:space="preserve">P94</t>
  </si>
  <si>
    <t xml:space="preserve">Corretivo Líquido Concealer (LR-4908)</t>
  </si>
  <si>
    <t xml:space="preserve">P95</t>
  </si>
  <si>
    <t xml:space="preserve">Batom Matte Cherry</t>
  </si>
  <si>
    <t xml:space="preserve">Preço escondido no print</t>
  </si>
  <si>
    <t xml:space="preserve">P96</t>
  </si>
  <si>
    <t xml:space="preserve">Batom Cintilante Viv</t>
  </si>
  <si>
    <t xml:space="preserve">P97</t>
  </si>
  <si>
    <t xml:space="preserve">Pó Solto Banana (B101)</t>
  </si>
  <si>
    <t xml:space="preserve">Caixa com 19. O Pó de Tapioca Miss Rôse é mais barato</t>
  </si>
  <si>
    <t xml:space="preserve">P98</t>
  </si>
  <si>
    <t xml:space="preserve">Blush (ME003)</t>
  </si>
  <si>
    <t xml:space="preserve">P99</t>
  </si>
  <si>
    <t xml:space="preserve">Lip Cream You Me com Chaveiro</t>
  </si>
  <si>
    <t xml:space="preserve">P100</t>
  </si>
  <si>
    <t xml:space="preserve">Lip Oil Jelly Hello Kitty</t>
  </si>
  <si>
    <t xml:space="preserve">Yalanni</t>
  </si>
  <si>
    <t xml:space="preserve">Evitar (personagem licenciado)</t>
  </si>
  <si>
    <t xml:space="preserve">Hello Kitty é marca registrada: sem licença comprovada, o anúncio pode ser removido</t>
  </si>
  <si>
    <t xml:space="preserve">P101</t>
  </si>
  <si>
    <t xml:space="preserve">Lip Gloss Chocolip</t>
  </si>
  <si>
    <t xml:space="preserve">P102</t>
  </si>
  <si>
    <t xml:space="preserve">Gel para Sobrancelha Velvet Fix Brow</t>
  </si>
  <si>
    <t xml:space="preserve">Já tem o gel Wike Make</t>
  </si>
  <si>
    <t xml:space="preserve">P103</t>
  </si>
  <si>
    <t xml:space="preserve">Candy Balm 10g (Biscoito Recheado, Creme de Avelã)</t>
  </si>
  <si>
    <t xml:space="preserve">Hidratante labial; 2 sabores</t>
  </si>
  <si>
    <t xml:space="preserve">P104</t>
  </si>
  <si>
    <t xml:space="preserve">Máscara para Cílios Alonga Olhar</t>
  </si>
  <si>
    <t xml:space="preserve">P105</t>
  </si>
  <si>
    <t xml:space="preserve">Máscara para Cílios 36h Curva e Volume</t>
  </si>
  <si>
    <t xml:space="preserve">Comprar (kit Olhar Poderoso)</t>
  </si>
  <si>
    <t xml:space="preserve">Mais barata que a Miss Romantic (R$ 5,15 x R$ 6,68)</t>
  </si>
  <si>
    <t xml:space="preserve">P106</t>
  </si>
  <si>
    <t xml:space="preserve">Gloss Labial Super Bocão (N°06, N°08, N°09)</t>
  </si>
  <si>
    <t xml:space="preserve">Gloss "aumenta boca", muito procurado</t>
  </si>
  <si>
    <t xml:space="preserve">P107</t>
  </si>
  <si>
    <t xml:space="preserve">Lip Gloss Gelato</t>
  </si>
  <si>
    <t xml:space="preserve">P108</t>
  </si>
  <si>
    <t xml:space="preserve">Pó Solto Facial Rosa Entregou Tudo</t>
  </si>
  <si>
    <t xml:space="preserve">Caixa com 15</t>
  </si>
  <si>
    <t xml:space="preserve">P109</t>
  </si>
  <si>
    <t xml:space="preserve">Body Cream 125ml (Glow Belle, Angelical, Paradoxo, Glowly, Royal Glow)</t>
  </si>
  <si>
    <t xml:space="preserve">Glow Line</t>
  </si>
  <si>
    <t xml:space="preserve">5 fragrâncias. A Natuza já cobre os body creams</t>
  </si>
  <si>
    <t xml:space="preserve">P110</t>
  </si>
  <si>
    <t xml:space="preserve">Balm Sweet Lips / Babalips com chaveiro (5 sabores)</t>
  </si>
  <si>
    <t xml:space="preserve">Opcional (bom como brinde)</t>
  </si>
  <si>
    <t xml:space="preserve">Tutti Frutti, Melancia, Glitter, Chocolate, Goma de Mascar</t>
  </si>
  <si>
    <t xml:space="preserve">P111</t>
  </si>
  <si>
    <t xml:space="preserve">Pó Translúcido Banana</t>
  </si>
  <si>
    <t xml:space="preserve">Sarah's Beauty</t>
  </si>
  <si>
    <t xml:space="preserve">O Pó de Tapioca Miss Rôse é mais barato</t>
  </si>
  <si>
    <t xml:space="preserve">P112</t>
  </si>
  <si>
    <t xml:space="preserve">Brilho Labial Vitamin C / Vitamin B3</t>
  </si>
  <si>
    <t xml:space="preserve">2 versões</t>
  </si>
  <si>
    <t xml:space="preserve">P113</t>
  </si>
  <si>
    <t xml:space="preserve">Hidratante Labial Lip Kat Doce de Leite 10g</t>
  </si>
  <si>
    <t xml:space="preserve">Febella</t>
  </si>
  <si>
    <t xml:space="preserve">Evitar (lucro baixo)</t>
  </si>
  <si>
    <t xml:space="preserve">P114</t>
  </si>
  <si>
    <t xml:space="preserve">Lip Gloss Glaze 3D (LG40153)</t>
  </si>
  <si>
    <t xml:space="preserve">P115</t>
  </si>
  <si>
    <t xml:space="preserve">Corretivo Líquido Matte</t>
  </si>
  <si>
    <t xml:space="preserve">Lush Lux</t>
  </si>
  <si>
    <t xml:space="preserve">P116</t>
  </si>
  <si>
    <t xml:space="preserve">Lip Gloss Twist</t>
  </si>
  <si>
    <t xml:space="preserve">Yasmim &amp; Ju</t>
  </si>
  <si>
    <t xml:space="preserve">P117</t>
  </si>
  <si>
    <t xml:space="preserve">Lip Bocão</t>
  </si>
  <si>
    <t xml:space="preserve">Parecido com o Super Bocão (R$ 5,20)</t>
  </si>
  <si>
    <t xml:space="preserve">P118</t>
  </si>
  <si>
    <t xml:space="preserve">Máscara para Cílios Preto Absoluto</t>
  </si>
  <si>
    <t xml:space="preserve">Rubi</t>
  </si>
  <si>
    <t xml:space="preserve">Qtd na caixa não aparece no print: considerei 24</t>
  </si>
  <si>
    <t xml:space="preserve">P119</t>
  </si>
  <si>
    <t xml:space="preserve">Lápis Delineador para Olhos Preto (c/12)</t>
  </si>
  <si>
    <t xml:space="preserve">Pacote com 12: R$ 1,94 cada</t>
  </si>
  <si>
    <t xml:space="preserve">P120</t>
  </si>
  <si>
    <t xml:space="preserve">Lápis para Sobrancelhas Marrom (c/12)</t>
  </si>
  <si>
    <t xml:space="preserve">Pacote com 12: R$ 2,42 cada</t>
  </si>
  <si>
    <t xml:space="preserve">P121</t>
  </si>
  <si>
    <t xml:space="preserve">Lip Gloss Chaveiro Marshmallow</t>
  </si>
  <si>
    <t xml:space="preserve">P122</t>
  </si>
  <si>
    <t xml:space="preserve">Blush Líquido</t>
  </si>
  <si>
    <t xml:space="preserve">Toque Special</t>
  </si>
  <si>
    <t xml:space="preserve">Opcional (alternativa ao Pink 21)</t>
  </si>
  <si>
    <t xml:space="preserve">O mais barato da lista (R$ 3,37); marca menos conhecida que a Pink 21</t>
  </si>
  <si>
    <t xml:space="preserve">P123</t>
  </si>
  <si>
    <t xml:space="preserve">Delineador Líquido</t>
  </si>
  <si>
    <t xml:space="preserve">P124</t>
  </si>
  <si>
    <t xml:space="preserve">Pó Facial Translúcido Stay Matte</t>
  </si>
  <si>
    <t xml:space="preserve">Soham</t>
  </si>
  <si>
    <t xml:space="preserve">Visto a R$ 4,59 em outra loja</t>
  </si>
  <si>
    <t xml:space="preserve">P125</t>
  </si>
  <si>
    <t xml:space="preserve">Escova de Chuveiro Reconstrutor 3 Minutos 280ml</t>
  </si>
  <si>
    <t xml:space="preserve">Bellafemme</t>
  </si>
  <si>
    <t xml:space="preserve">Opcional (confirmar preço)</t>
  </si>
  <si>
    <t xml:space="preserve">Progressiva de chuveiro está em alta. Frasco pesado</t>
  </si>
  <si>
    <t xml:space="preserve">P126</t>
  </si>
  <si>
    <t xml:space="preserve">Caneta Delineadora (BR1238)</t>
  </si>
  <si>
    <t xml:space="preserve">P127</t>
  </si>
  <si>
    <t xml:space="preserve">Face Primer (BR1209)</t>
  </si>
  <si>
    <t xml:space="preserve">Mais barato que o Primer Hidro Pink 21 (R$ 6,70)</t>
  </si>
  <si>
    <t xml:space="preserve">P128</t>
  </si>
  <si>
    <t xml:space="preserve">Kit Piranhas Hello Kitty Dourada (c/12)</t>
  </si>
  <si>
    <t xml:space="preserve">Hello Kitty é marca registrada</t>
  </si>
  <si>
    <t xml:space="preserve">P129</t>
  </si>
  <si>
    <t xml:space="preserve">Kit Piranhas Hello Kitty com Brilho (c/12)</t>
  </si>
  <si>
    <t xml:space="preserve">P130</t>
  </si>
  <si>
    <t xml:space="preserve">Lip Oil Hidratante Coelho Encantado</t>
  </si>
  <si>
    <t xml:space="preserve">MiaTeen</t>
  </si>
  <si>
    <t xml:space="preserve">P131</t>
  </si>
  <si>
    <t xml:space="preserve">Máscara para Cílios Curl Up</t>
  </si>
  <si>
    <t xml:space="preserve">A Super Poderes 36h é mais barata</t>
  </si>
  <si>
    <t xml:space="preserve">P132</t>
  </si>
  <si>
    <t xml:space="preserve">Lip Gloss Extra Gloss</t>
  </si>
  <si>
    <t xml:space="preserve">P133</t>
  </si>
  <si>
    <t xml:space="preserve">Contorno para Lábios Full Cover Passion</t>
  </si>
  <si>
    <t xml:space="preserve">Qtd na caixa cortada no print ("C/4..."): considerei 48</t>
  </si>
  <si>
    <t xml:space="preserve">P134</t>
  </si>
  <si>
    <t xml:space="preserve">Paleta de Sobrancelha Duo</t>
  </si>
  <si>
    <t xml:space="preserve">Com pincel</t>
  </si>
  <si>
    <t xml:space="preserve">P135</t>
  </si>
  <si>
    <t xml:space="preserve">Pó Compacto (2 coleções de cores)</t>
  </si>
  <si>
    <t xml:space="preserve">P136</t>
  </si>
  <si>
    <t xml:space="preserve">Lip Gloss Glamour</t>
  </si>
  <si>
    <t xml:space="preserve">P137</t>
  </si>
  <si>
    <t xml:space="preserve">Lip Gloss Loop com chaveiro</t>
  </si>
  <si>
    <t xml:space="preserve">P138</t>
  </si>
  <si>
    <t xml:space="preserve">Lip Gloss Donut Glaze</t>
  </si>
  <si>
    <t xml:space="preserve">P139</t>
  </si>
  <si>
    <t xml:space="preserve">Lip Gloss Diamond Pink</t>
  </si>
  <si>
    <t xml:space="preserve">P140</t>
  </si>
  <si>
    <t xml:space="preserve">Batom Líquido All Day Stay</t>
  </si>
  <si>
    <t xml:space="preserve">Evitar (All Day é mais barato)</t>
  </si>
  <si>
    <t xml:space="preserve">P141</t>
  </si>
  <si>
    <t xml:space="preserve">Blush e Contorno em Bastão</t>
  </si>
  <si>
    <t xml:space="preserve">P142</t>
  </si>
  <si>
    <t xml:space="preserve">Lip Oil Juicy (CS5287)</t>
  </si>
  <si>
    <t xml:space="preserve">P143</t>
  </si>
  <si>
    <t xml:space="preserve">Corretivo Líquido com Aplicador Esponja</t>
  </si>
  <si>
    <t xml:space="preserve">Qtd na caixa cortada no print: considerei 24</t>
  </si>
  <si>
    <t xml:space="preserve">P144</t>
  </si>
  <si>
    <t xml:space="preserve">Toalhas Compactas (pacote c/6)</t>
  </si>
  <si>
    <t xml:space="preserve">Só em kit / brinde</t>
  </si>
  <si>
    <t xml:space="preserve">P145</t>
  </si>
  <si>
    <t xml:space="preserve">Iluminador Stick Multifuncional</t>
  </si>
  <si>
    <t xml:space="preserve">Comprar (kit Trio Stick)</t>
  </si>
  <si>
    <t xml:space="preserve">Mesma linha do Blush Stick (R$ 26,90 no site da marca)</t>
  </si>
  <si>
    <t xml:space="preserve">P146</t>
  </si>
  <si>
    <t xml:space="preserve">Corretivo Stick Multifuncional</t>
  </si>
  <si>
    <t xml:space="preserve">Mesma linha do Blush Stick</t>
  </si>
  <si>
    <t xml:space="preserve">P147</t>
  </si>
  <si>
    <t xml:space="preserve">Blush Stick Multifuncional (BF10197)</t>
  </si>
  <si>
    <t xml:space="preserve">R$ 26,90 no site oficial da Bella Femme</t>
  </si>
  <si>
    <t xml:space="preserve">P148</t>
  </si>
  <si>
    <t xml:space="preserve">Batom Hidratante Glazed</t>
  </si>
  <si>
    <t xml:space="preserve">P149</t>
  </si>
  <si>
    <t xml:space="preserve">Batom Cronos (BF10149)</t>
  </si>
  <si>
    <t xml:space="preserve">P150</t>
  </si>
  <si>
    <t xml:space="preserve">Pó Compacto 4 Tonalidades Tons Escuros</t>
  </si>
  <si>
    <t xml:space="preserve">Opcional (confirmar qtd)</t>
  </si>
  <si>
    <t xml:space="preserve">Qtd cortada no print: considerei 24 (outro atacado vende caixa de 32). Pó para pele negra tem pouca oferta: bom diferencial</t>
  </si>
  <si>
    <t xml:space="preserve">P151</t>
  </si>
  <si>
    <t xml:space="preserve">Brilho Labial Ursinho</t>
  </si>
  <si>
    <t xml:space="preserve">Maria Pink</t>
  </si>
  <si>
    <t xml:space="preserve">P152</t>
  </si>
  <si>
    <t xml:space="preserve">Gloss Borboleta Brilho Labial</t>
  </si>
  <si>
    <t xml:space="preserve">P153</t>
  </si>
  <si>
    <t xml:space="preserve">Delineador Líquido Romance Noir</t>
  </si>
  <si>
    <t xml:space="preserve">Delineador mais barato da lista</t>
  </si>
  <si>
    <t xml:space="preserve">P154</t>
  </si>
  <si>
    <t xml:space="preserve">Lip Oil Fruity &amp; Juicy 5ml (6 sabores)</t>
  </si>
  <si>
    <t xml:space="preserve">Evitar (vendido quase pelo custo)</t>
  </si>
  <si>
    <t xml:space="preserve">Pitaya, Blueberry, Pêssego, Melancia, Coco, Morango. Visto a R$ 6,89 a unidade em outra loja</t>
  </si>
  <si>
    <t xml:space="preserve">P155</t>
  </si>
  <si>
    <t xml:space="preserve">Lip Gloss Glam (Petal, Frost, Pinkly)</t>
  </si>
  <si>
    <t xml:space="preserve">3 cores</t>
  </si>
  <si>
    <t xml:space="preserve">P156</t>
  </si>
  <si>
    <t xml:space="preserve">Lip Oil Chocolate</t>
  </si>
  <si>
    <t xml:space="preserve">P157</t>
  </si>
  <si>
    <t xml:space="preserve">Lip Gloss Super Lábio Glow Chocolate (TS07108)</t>
  </si>
  <si>
    <t xml:space="preserve">P158</t>
  </si>
  <si>
    <t xml:space="preserve">Body Splash 100ml (caixas A e B)</t>
  </si>
  <si>
    <t xml:space="preserve">Face Beautiful</t>
  </si>
  <si>
    <t xml:space="preserve">Caixa com 12. Vendido a ~R$ 10–11,90 em outras lojas; a Natuza dá mais lucro</t>
  </si>
  <si>
    <t xml:space="preserve">P159</t>
  </si>
  <si>
    <t xml:space="preserve">Pincel para Esfumar (SP007, SP017)</t>
  </si>
  <si>
    <t xml:space="preserve">Visto a R$ 4,05–5,99</t>
  </si>
  <si>
    <t xml:space="preserve">P160</t>
  </si>
  <si>
    <t xml:space="preserve">Delineador Líquido Cat Omg</t>
  </si>
  <si>
    <t xml:space="preserve">P161</t>
  </si>
  <si>
    <t xml:space="preserve">Blush (FR195)</t>
  </si>
  <si>
    <t xml:space="preserve">P162</t>
  </si>
  <si>
    <t xml:space="preserve">Lip Gloss Oh Yeah (LG40112)</t>
  </si>
  <si>
    <t xml:space="preserve">P163</t>
  </si>
  <si>
    <t xml:space="preserve">Caneta Delineadora Preta</t>
  </si>
  <si>
    <t xml:space="preserve">P164</t>
  </si>
  <si>
    <t xml:space="preserve">Kit de Pinças para Sobrancelha (4 pinças)</t>
  </si>
  <si>
    <t xml:space="preserve">Ruby Anjo</t>
  </si>
  <si>
    <t xml:space="preserve">Kits de 4 pinças vendidos de R$ 21,97 a R$ 49,90</t>
  </si>
  <si>
    <t xml:space="preserve">P165</t>
  </si>
  <si>
    <t xml:space="preserve">Lixa de Unha Banana (c/10)</t>
  </si>
  <si>
    <t xml:space="preserve">Unhas</t>
  </si>
  <si>
    <t xml:space="preserve">R$ 1,89 cada</t>
  </si>
  <si>
    <t xml:space="preserve">P166</t>
  </si>
  <si>
    <t xml:space="preserve">Kit de Esponjas e Frasco de Viagem</t>
  </si>
  <si>
    <t xml:space="preserve">P167</t>
  </si>
  <si>
    <t xml:space="preserve">Cílios Tufinho 20P 12mm</t>
  </si>
  <si>
    <t xml:space="preserve">Cílios em tufo estão em alta</t>
  </si>
  <si>
    <t xml:space="preserve">P168</t>
  </si>
  <si>
    <t xml:space="preserve">Kit de Esponjas e Piranha de Flor</t>
  </si>
  <si>
    <t xml:space="preserve">P169</t>
  </si>
  <si>
    <t xml:space="preserve">Kit de Esponjas c/6 (RA668)</t>
  </si>
  <si>
    <t xml:space="preserve">6 esponjas; o kit Mahav de 4 é marca mais conhecida</t>
  </si>
  <si>
    <t xml:space="preserve">P170</t>
  </si>
  <si>
    <t xml:space="preserve">Corretivo Líquido (c/30)</t>
  </si>
  <si>
    <t xml:space="preserve">Caixa com 30</t>
  </si>
  <si>
    <t xml:space="preserve">P171</t>
  </si>
  <si>
    <t xml:space="preserve">Gloss Labial Magic Color</t>
  </si>
  <si>
    <t xml:space="preserve">P172</t>
  </si>
  <si>
    <t xml:space="preserve">Máscara para Cílios Curve</t>
  </si>
  <si>
    <t xml:space="preserve">Evitar (Super Poderes é mais barata)</t>
  </si>
  <si>
    <t xml:space="preserve">P173</t>
  </si>
  <si>
    <t xml:space="preserve">Batom Matte Core (3412.1.1)</t>
  </si>
  <si>
    <t xml:space="preserve">P174</t>
  </si>
  <si>
    <t xml:space="preserve">Esponja Beauty Blender</t>
  </si>
  <si>
    <t xml:space="preserve">Miss Frandy</t>
  </si>
  <si>
    <t xml:space="preserve">P175</t>
  </si>
  <si>
    <t xml:space="preserve">Máscara para Sobrancelhas Incolor</t>
  </si>
  <si>
    <t xml:space="preserve">Qtd na caixa não aparece: considerei 24</t>
  </si>
  <si>
    <t xml:space="preserve">P176</t>
  </si>
  <si>
    <t xml:space="preserve">Primer Pré-Maquiagem 20ml</t>
  </si>
  <si>
    <t xml:space="preserve">P177</t>
  </si>
  <si>
    <t xml:space="preserve">Batom Lip Stick</t>
  </si>
  <si>
    <t xml:space="preserve">P178</t>
  </si>
  <si>
    <t xml:space="preserve">Pó Solto (FR193)</t>
  </si>
  <si>
    <t xml:space="preserve">Evitar (Tapioca é mais barato)</t>
  </si>
  <si>
    <t xml:space="preserve">P179</t>
  </si>
  <si>
    <t xml:space="preserve">Delineador Líquido Basic</t>
  </si>
  <si>
    <t xml:space="preserve">Delineador mais barato da lista (R$ 4,24)</t>
  </si>
  <si>
    <t xml:space="preserve">P180</t>
  </si>
  <si>
    <t xml:space="preserve">Gloss Labial com Chaveiro (Maracujá, Cereja, Melancia, Morango)</t>
  </si>
  <si>
    <t xml:space="preserve">4 sabores</t>
  </si>
  <si>
    <t xml:space="preserve">P181</t>
  </si>
  <si>
    <t xml:space="preserve">Iluminador Líquido</t>
  </si>
  <si>
    <t xml:space="preserve">P182</t>
  </si>
  <si>
    <t xml:space="preserve">Gloss Labial Lip Fizz</t>
  </si>
  <si>
    <t xml:space="preserve">P183</t>
  </si>
  <si>
    <t xml:space="preserve">Gloss Reflection</t>
  </si>
  <si>
    <t xml:space="preserve">P184</t>
  </si>
  <si>
    <t xml:space="preserve">Balm Labial Ursinho Aura com Chaveiro</t>
  </si>
  <si>
    <t xml:space="preserve">Kit</t>
  </si>
  <si>
    <t xml:space="preserve">Item 1</t>
  </si>
  <si>
    <t xml:space="preserve">Item 2</t>
  </si>
  <si>
    <t xml:space="preserve">Item 3</t>
  </si>
  <si>
    <t xml:space="preserve">Item 4</t>
  </si>
  <si>
    <t xml:space="preserve">Item 5</t>
  </si>
  <si>
    <t xml:space="preserve">Custo do kit</t>
  </si>
  <si>
    <t xml:space="preserve">Preço de venda</t>
  </si>
  <si>
    <t xml:space="preserve">Lucro seu site</t>
  </si>
  <si>
    <t xml:space="preserve">Lucro Mercado Livre</t>
  </si>
  <si>
    <t xml:space="preserve">Lucro Shopee</t>
  </si>
  <si>
    <t xml:space="preserve">Kits/mês p/ meta (seu site)</t>
  </si>
  <si>
    <t xml:space="preserve">Pele de Vidro</t>
  </si>
  <si>
    <t xml:space="preserve">Pele Perfeita</t>
  </si>
  <si>
    <t xml:space="preserve">Rotina Skincare</t>
  </si>
  <si>
    <t xml:space="preserve">Olhar Poderoso</t>
  </si>
  <si>
    <t xml:space="preserve">Sobrancelha Perfeita</t>
  </si>
  <si>
    <t xml:space="preserve">Lábios Suculentos</t>
  </si>
  <si>
    <t xml:space="preserve">Perfumada (splash + creme)</t>
  </si>
  <si>
    <t xml:space="preserve">Presente Masculino (2 splash)</t>
  </si>
  <si>
    <t xml:space="preserve">Make Completa</t>
  </si>
  <si>
    <t xml:space="preserve">Pele Pink 21</t>
  </si>
  <si>
    <t xml:space="preserve">Trio Stick Bellafemme</t>
  </si>
  <si>
    <t xml:space="preserve">Os itens são IDs da aba Produtos (passe o mouse para ver o nome). Repetir um ID = mais de uma unidade no kit.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</si>
</sst>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[RED]\-#,##0;\-"/>
    <numFmt numFmtId="166" formatCode="&quot;R$ &quot;#,##0.00;[RED]&quot;-R$ &quot;#,##0.00;\-"/>
    <numFmt numFmtId="167" formatCode="0.0%;[RED]\-0.0%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666666"/>
      <name val="Arial"/>
      <family val="0"/>
      <charset val="1"/>
    </font>
    <font>
      <sz val="11"/>
      <color rgb="FFB8860B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11014"/>
        <bgColor rgb="FF000000"/>
      </patternFill>
    </fill>
    <fill>
      <patternFill patternType="solid">
        <fgColor rgb="FFFFE3EC"/>
        <bgColor rgb="FFE6DDE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8">
    <dxf>
      <fill>
        <patternFill patternType="solid">
          <fgColor rgb="FF11101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8860B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6BC282"/>
          <bgColor rgb="FF000000"/>
        </patternFill>
      </fill>
    </dxf>
    <dxf>
      <fill>
        <patternFill patternType="solid">
          <fgColor rgb="FF7DC991"/>
          <bgColor rgb="FF000000"/>
        </patternFill>
      </fill>
    </dxf>
    <dxf>
      <fill>
        <patternFill patternType="solid">
          <fgColor rgb="FF7FCA93"/>
          <bgColor rgb="FF000000"/>
        </patternFill>
      </fill>
    </dxf>
    <dxf>
      <fill>
        <patternFill patternType="solid">
          <fgColor rgb="FF8ACF9C"/>
          <bgColor rgb="FF000000"/>
        </patternFill>
      </fill>
    </dxf>
    <dxf>
      <fill>
        <patternFill patternType="solid">
          <fgColor rgb="FF95D3A6"/>
          <bgColor rgb="FF000000"/>
        </patternFill>
      </fill>
    </dxf>
    <dxf>
      <fill>
        <patternFill patternType="solid">
          <fgColor rgb="FF9DD7AC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ABDCB8"/>
          <bgColor rgb="FF000000"/>
        </patternFill>
      </fill>
    </dxf>
    <dxf>
      <fill>
        <patternFill patternType="solid">
          <fgColor rgb="FFACDDB9"/>
          <bgColor rgb="FF000000"/>
        </patternFill>
      </fill>
    </dxf>
    <dxf>
      <fill>
        <patternFill patternType="solid">
          <fgColor rgb="FFAFDEBC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6E1C1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0E5CA"/>
          <bgColor rgb="FF000000"/>
        </patternFill>
      </fill>
    </dxf>
    <dxf>
      <fill>
        <patternFill patternType="solid">
          <fgColor rgb="FFC3E6CD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C6E8CF"/>
          <bgColor rgb="FF000000"/>
        </patternFill>
      </fill>
    </dxf>
    <dxf>
      <fill>
        <patternFill patternType="solid">
          <fgColor rgb="FFC8E8D1"/>
          <bgColor rgb="FF000000"/>
        </patternFill>
      </fill>
    </dxf>
    <dxf>
      <fill>
        <patternFill patternType="solid">
          <fgColor rgb="FFC9E9D1"/>
          <bgColor rgb="FF000000"/>
        </patternFill>
      </fill>
    </dxf>
    <dxf>
      <fill>
        <patternFill patternType="solid">
          <fgColor rgb="FFCBE9D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CDEBD5"/>
          <bgColor rgb="FF000000"/>
        </patternFill>
      </fill>
    </dxf>
    <dxf>
      <fill>
        <patternFill patternType="solid">
          <fgColor rgb="FFCEEBD5"/>
          <bgColor rgb="FF000000"/>
        </patternFill>
      </fill>
    </dxf>
    <dxf>
      <fill>
        <patternFill patternType="solid">
          <fgColor rgb="FFCEEBD6"/>
          <bgColor rgb="FF000000"/>
        </patternFill>
      </fill>
    </dxf>
    <dxf>
      <fill>
        <patternFill patternType="solid">
          <fgColor rgb="FFCFEBD6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0ECD8"/>
          <bgColor rgb="FF000000"/>
        </patternFill>
      </fill>
    </dxf>
    <dxf>
      <fill>
        <patternFill patternType="solid">
          <fgColor rgb="FFD1ECD8"/>
          <bgColor rgb="FF000000"/>
        </patternFill>
      </fill>
    </dxf>
    <dxf>
      <fill>
        <patternFill patternType="solid">
          <fgColor rgb="FFD2ECD9"/>
          <bgColor rgb="FF000000"/>
        </patternFill>
      </fill>
    </dxf>
    <dxf>
      <fill>
        <patternFill patternType="solid">
          <fgColor rgb="FFD2EDD9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4EDDB"/>
          <bgColor rgb="FF000000"/>
        </patternFill>
      </fill>
    </dxf>
    <dxf>
      <fill>
        <patternFill patternType="solid">
          <fgColor rgb="FFD4EEDB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7EFDE"/>
          <bgColor rgb="FF000000"/>
        </patternFill>
      </fill>
    </dxf>
    <dxf>
      <fill>
        <patternFill patternType="solid">
          <fgColor rgb="FFD8EFDE"/>
          <bgColor rgb="FF000000"/>
        </patternFill>
      </fill>
    </dxf>
    <dxf>
      <fill>
        <patternFill patternType="solid">
          <fgColor rgb="FFD9EFDF"/>
          <bgColor rgb="FF000000"/>
        </patternFill>
      </fill>
    </dxf>
    <dxf>
      <fill>
        <patternFill patternType="solid">
          <fgColor rgb="FFD9F0DF"/>
          <bgColor rgb="FF000000"/>
        </patternFill>
      </fill>
    </dxf>
    <dxf>
      <fill>
        <patternFill patternType="solid">
          <fgColor rgb="FFDAF0E0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DCF1E1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EF1E3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E2F3E6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8F6EC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6FCF7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08080"/>
      <rgbColor rgb="FF9999FF"/>
      <rgbColor rgb="FF993366"/>
      <rgbColor rgb="FFFFE3EC"/>
      <rgbColor rgb="FFCCFFFF"/>
      <rgbColor rgb="FF660066"/>
      <rgbColor rgb="FFFF8080"/>
      <rgbColor rgb="FF0066CC"/>
      <rgbColor rgb="FFE6DD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014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5" t="n">
        <f aca="false">COUNTA(Produtos!A2:A185)</f>
        <v>184</v>
      </c>
    </row>
    <row r="6" customFormat="false" ht="15" hidden="false" customHeight="false" outlineLevel="0" collapsed="false">
      <c r="A6" s="4" t="s">
        <v>5</v>
      </c>
      <c r="B6" s="5" t="n">
        <f aca="false">COUNTIF(Produtos!T2:T185,"S")</f>
        <v>40</v>
      </c>
    </row>
    <row r="7" customFormat="false" ht="15" hidden="false" customHeight="false" outlineLevel="0" collapsed="false">
      <c r="A7" s="6" t="s">
        <v>6</v>
      </c>
      <c r="B7" s="7" t="n">
        <f aca="false">SUM(Produtos!Y2:Y185)</f>
        <v>4366.34</v>
      </c>
    </row>
    <row r="8" customFormat="false" ht="15" hidden="false" customHeight="false" outlineLevel="0" collapsed="false">
      <c r="A8" s="4" t="s">
        <v>7</v>
      </c>
      <c r="B8" s="5" t="n">
        <f aca="false">SUMPRODUCT((Produtos!T2:T185="S")*Produtos!F2:F185*Produtos!X2:X185)</f>
        <v>805</v>
      </c>
    </row>
    <row r="9" customFormat="false" ht="15" hidden="false" customHeight="false" outlineLevel="0" collapsed="false">
      <c r="A9" s="4" t="s">
        <v>8</v>
      </c>
      <c r="B9" s="7" t="n">
        <f aca="false">SUM(Produtos!V2:V185)</f>
        <v>12439.5</v>
      </c>
    </row>
    <row r="10" customFormat="false" ht="15" hidden="false" customHeight="false" outlineLevel="0" collapsed="false">
      <c r="A10" s="6" t="s">
        <v>9</v>
      </c>
      <c r="B10" s="7" t="n">
        <f aca="false">SUM(Produtos!W2:W185)</f>
        <v>6528.00975</v>
      </c>
    </row>
    <row r="11" customFormat="false" ht="15" hidden="false" customHeight="false" outlineLevel="0" collapsed="false">
      <c r="A11" s="4" t="s">
        <v>10</v>
      </c>
      <c r="B11" s="8" t="n">
        <f aca="false">IFERROR(B10/B7,"")</f>
        <v>1.49507591025894</v>
      </c>
    </row>
    <row r="12" customFormat="false" ht="15" hidden="false" customHeight="false" outlineLevel="0" collapsed="false">
      <c r="A12" s="4" t="s">
        <v>11</v>
      </c>
      <c r="B12" s="7" t="n">
        <f aca="false">Premissas!$B$12</f>
        <v>1000</v>
      </c>
    </row>
    <row r="15" customFormat="false" ht="15" hidden="false" customHeight="false" outlineLevel="0" collapsed="false">
      <c r="A15" s="9" t="s">
        <v>12</v>
      </c>
    </row>
    <row r="16" customFormat="false" ht="15" hidden="false" customHeight="false" outlineLevel="0" collapsed="false">
      <c r="A16" s="4" t="s">
        <v>13</v>
      </c>
    </row>
    <row r="17" customFormat="false" ht="15" hidden="false" customHeight="false" outlineLevel="0" collapsed="false">
      <c r="A17" s="4" t="s">
        <v>14</v>
      </c>
    </row>
    <row r="18" customFormat="false" ht="15" hidden="false" customHeight="false" outlineLevel="0" collapsed="false">
      <c r="A18" s="4" t="s">
        <v>15</v>
      </c>
    </row>
    <row r="19" customFormat="false" ht="15" hidden="false" customHeight="false" outlineLevel="0" collapsed="false">
      <c r="A19" s="4" t="s">
        <v>16</v>
      </c>
    </row>
    <row r="20" customFormat="false" ht="15" hidden="false" customHeight="false" outlineLevel="0" collapsed="false">
      <c r="A20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3" t="s">
        <v>20</v>
      </c>
      <c r="B4" s="3" t="s">
        <v>3</v>
      </c>
      <c r="C4" s="3" t="s">
        <v>21</v>
      </c>
    </row>
    <row r="5" customFormat="false" ht="15" hidden="false" customHeight="false" outlineLevel="0" collapsed="false">
      <c r="A5" s="4" t="s">
        <v>22</v>
      </c>
      <c r="B5" s="10" t="n">
        <v>0.05</v>
      </c>
      <c r="C5" s="11" t="s">
        <v>23</v>
      </c>
    </row>
    <row r="6" customFormat="false" ht="15" hidden="false" customHeight="false" outlineLevel="0" collapsed="false">
      <c r="A6" s="4" t="s">
        <v>24</v>
      </c>
      <c r="B6" s="10" t="n">
        <v>0.01</v>
      </c>
      <c r="C6" s="11" t="s">
        <v>25</v>
      </c>
    </row>
    <row r="7" customFormat="false" ht="15" hidden="false" customHeight="false" outlineLevel="0" collapsed="false">
      <c r="A7" s="4" t="s">
        <v>26</v>
      </c>
      <c r="B7" s="12" t="n">
        <v>1</v>
      </c>
      <c r="C7" s="11" t="s">
        <v>27</v>
      </c>
    </row>
    <row r="8" customFormat="false" ht="15" hidden="false" customHeight="false" outlineLevel="0" collapsed="false">
      <c r="A8" s="4" t="s">
        <v>28</v>
      </c>
      <c r="B8" s="10" t="n">
        <v>0.12</v>
      </c>
      <c r="C8" s="11" t="s">
        <v>29</v>
      </c>
    </row>
    <row r="9" customFormat="false" ht="15" hidden="false" customHeight="false" outlineLevel="0" collapsed="false">
      <c r="A9" s="4" t="s">
        <v>30</v>
      </c>
      <c r="B9" s="12" t="n">
        <v>6.25</v>
      </c>
      <c r="C9" s="11" t="s">
        <v>31</v>
      </c>
    </row>
    <row r="10" customFormat="false" ht="15" hidden="false" customHeight="false" outlineLevel="0" collapsed="false">
      <c r="A10" s="4" t="s">
        <v>32</v>
      </c>
      <c r="B10" s="10" t="n">
        <v>0.2</v>
      </c>
      <c r="C10" s="11" t="s">
        <v>31</v>
      </c>
    </row>
    <row r="11" customFormat="false" ht="15" hidden="false" customHeight="false" outlineLevel="0" collapsed="false">
      <c r="A11" s="4" t="s">
        <v>33</v>
      </c>
      <c r="B11" s="12" t="n">
        <v>4</v>
      </c>
      <c r="C11" s="11" t="s">
        <v>31</v>
      </c>
    </row>
    <row r="12" customFormat="false" ht="15" hidden="false" customHeight="false" outlineLevel="0" collapsed="false">
      <c r="A12" s="4" t="s">
        <v>34</v>
      </c>
      <c r="B12" s="12" t="n">
        <v>1000</v>
      </c>
      <c r="C12" s="11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13" min="8" style="0" width="12"/>
    <col collapsed="false" customWidth="true" hidden="false" outlineLevel="0" max="14" min="14" style="0" width="1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18" min="18" style="0" width="12"/>
    <col collapsed="false" customWidth="true" hidden="false" outlineLevel="0" max="19" min="19" style="0" width="26"/>
    <col collapsed="false" customWidth="true" hidden="false" outlineLevel="0" max="20" min="20" style="0" width="11"/>
    <col collapsed="false" customWidth="true" hidden="false" outlineLevel="0" max="21" min="21" style="0" width="44"/>
    <col collapsed="false" customWidth="true" hidden="false" outlineLevel="0" max="23" min="22" style="0" width="14"/>
    <col collapsed="false" customWidth="true" hidden="false" outlineLevel="0" max="24" min="24" style="0" width="13"/>
    <col collapsed="false" customWidth="true" hidden="false" outlineLevel="0" max="25" min="25" style="0" width="14"/>
  </cols>
  <sheetData>
    <row r="1" customFormat="false" ht="42" hidden="false" customHeight="true" outlineLevel="0" collapsed="false">
      <c r="A1" s="13" t="s">
        <v>36</v>
      </c>
      <c r="B1" s="13" t="s">
        <v>37</v>
      </c>
      <c r="C1" s="13" t="s">
        <v>38</v>
      </c>
      <c r="D1" s="13" t="s">
        <v>39</v>
      </c>
      <c r="E1" s="13" t="s">
        <v>40</v>
      </c>
      <c r="F1" s="13" t="s">
        <v>41</v>
      </c>
      <c r="G1" s="13" t="s">
        <v>42</v>
      </c>
      <c r="H1" s="13" t="s">
        <v>43</v>
      </c>
      <c r="I1" s="13" t="s">
        <v>44</v>
      </c>
      <c r="J1" s="13" t="s">
        <v>45</v>
      </c>
      <c r="K1" s="13" t="s">
        <v>46</v>
      </c>
      <c r="L1" s="13" t="s">
        <v>47</v>
      </c>
      <c r="M1" s="13" t="s">
        <v>48</v>
      </c>
      <c r="N1" s="13" t="s">
        <v>49</v>
      </c>
      <c r="O1" s="13" t="s">
        <v>50</v>
      </c>
      <c r="P1" s="13" t="s">
        <v>51</v>
      </c>
      <c r="Q1" s="13" t="s">
        <v>52</v>
      </c>
      <c r="R1" s="13" t="s">
        <v>53</v>
      </c>
      <c r="S1" s="13" t="s">
        <v>54</v>
      </c>
      <c r="T1" s="13" t="s">
        <v>55</v>
      </c>
      <c r="U1" s="13" t="s">
        <v>21</v>
      </c>
      <c r="V1" s="13" t="s">
        <v>56</v>
      </c>
      <c r="W1" s="13" t="s">
        <v>57</v>
      </c>
      <c r="X1" s="13" t="s">
        <v>58</v>
      </c>
      <c r="Y1" s="13" t="s">
        <v>59</v>
      </c>
    </row>
    <row r="2" customFormat="false" ht="15" hidden="false" customHeight="false" outlineLevel="0" collapsed="false">
      <c r="A2" s="14" t="s">
        <v>60</v>
      </c>
      <c r="B2" s="15" t="s">
        <v>61</v>
      </c>
      <c r="C2" s="14" t="s">
        <v>62</v>
      </c>
      <c r="D2" s="14" t="s">
        <v>63</v>
      </c>
      <c r="E2" s="14" t="n">
        <v>1</v>
      </c>
      <c r="F2" s="16" t="n">
        <v>24</v>
      </c>
      <c r="G2" s="17" t="n">
        <v>156.5</v>
      </c>
      <c r="H2" s="18" t="n">
        <f aca="false">IF(ISNUMBER(G2),IFERROR(G2/F2,""),"")</f>
        <v>6.52083333333333</v>
      </c>
      <c r="I2" s="17" t="n">
        <v>14.99</v>
      </c>
      <c r="J2" s="17" t="n">
        <v>14.99</v>
      </c>
      <c r="K2" s="19" t="s">
        <v>64</v>
      </c>
      <c r="L2" s="20" t="n">
        <v>14.9</v>
      </c>
      <c r="M2" s="18" t="n">
        <f aca="false">IFERROR(L2*(1-Premissas!$B$5)*(1-Premissas!$B$6)-H2-Premissas!$B$7,"")</f>
        <v>6.49261666666667</v>
      </c>
      <c r="N2" s="21" t="n">
        <f aca="false">IFERROR(M2/L2,"")</f>
        <v>0.435746085011186</v>
      </c>
      <c r="O2" s="18" t="n">
        <f aca="false">IFERROR(L2*(1-Premissas!$B$8)-Premissas!$B$9-H2-Premissas!$B$7,"")</f>
        <v>-0.658833333333333</v>
      </c>
      <c r="P2" s="18" t="n">
        <f aca="false">IFERROR(L2*(1-Premissas!$B$10)-Premissas!$B$11-H2-Premissas!$B$7,"")</f>
        <v>0.399166666666669</v>
      </c>
      <c r="Q2" s="18" t="n">
        <f aca="false">IFERROR(M2*F2,"")</f>
        <v>155.8228</v>
      </c>
      <c r="R2" s="22" t="n">
        <f aca="false">IFERROR(IF(M2&gt;0,ROUNDUP(Premissas!$B$12/M2,0),"sem lucro"),"")</f>
        <v>155</v>
      </c>
      <c r="S2" s="15" t="s">
        <v>65</v>
      </c>
      <c r="T2" s="23" t="s">
        <v>66</v>
      </c>
      <c r="U2" s="15" t="s">
        <v>67</v>
      </c>
      <c r="V2" s="18" t="n">
        <f aca="false">IF(AND(T2="S",ISNUMBER(L2),ISNUMBER(F2)),L2*F2*X2,0)</f>
        <v>357.6</v>
      </c>
      <c r="W2" s="18" t="n">
        <f aca="false">IF(AND(T2="S",ISNUMBER(Q2)),Q2*X2,0)</f>
        <v>155.8228</v>
      </c>
      <c r="X2" s="23" t="n">
        <v>1</v>
      </c>
      <c r="Y2" s="18" t="n">
        <f aca="false">IF(AND(T2="S",ISNUMBER(G2)),G2*X2,0)</f>
        <v>156.5</v>
      </c>
    </row>
    <row r="3" customFormat="false" ht="15" hidden="false" customHeight="false" outlineLevel="0" collapsed="false">
      <c r="A3" s="14" t="s">
        <v>68</v>
      </c>
      <c r="B3" s="15" t="s">
        <v>69</v>
      </c>
      <c r="C3" s="14" t="s">
        <v>70</v>
      </c>
      <c r="D3" s="14" t="s">
        <v>63</v>
      </c>
      <c r="E3" s="14" t="n">
        <v>1</v>
      </c>
      <c r="F3" s="16" t="n">
        <v>24</v>
      </c>
      <c r="G3" s="17" t="n">
        <v>161.7</v>
      </c>
      <c r="H3" s="18" t="n">
        <f aca="false">IF(ISNUMBER(G3),IFERROR(G3/F3,""),"")</f>
        <v>6.7375</v>
      </c>
      <c r="I3" s="17" t="n">
        <v>12</v>
      </c>
      <c r="J3" s="17" t="n">
        <v>15.9</v>
      </c>
      <c r="K3" s="19" t="s">
        <v>64</v>
      </c>
      <c r="L3" s="20" t="n">
        <v>14.9</v>
      </c>
      <c r="M3" s="18" t="n">
        <f aca="false">IFERROR(L3*(1-Premissas!$B$5)*(1-Premissas!$B$6)-H3-Premissas!$B$7,"")</f>
        <v>6.27595</v>
      </c>
      <c r="N3" s="21" t="n">
        <f aca="false">IFERROR(M3/L3,"")</f>
        <v>0.421204697986577</v>
      </c>
      <c r="O3" s="18" t="n">
        <f aca="false">IFERROR(L3*(1-Premissas!$B$8)-Premissas!$B$9-H3-Premissas!$B$7,"")</f>
        <v>-0.8755</v>
      </c>
      <c r="P3" s="18" t="n">
        <f aca="false">IFERROR(L3*(1-Premissas!$B$10)-Premissas!$B$11-H3-Premissas!$B$7,"")</f>
        <v>0.182500000000002</v>
      </c>
      <c r="Q3" s="18" t="n">
        <f aca="false">IFERROR(M3*F3,"")</f>
        <v>150.6228</v>
      </c>
      <c r="R3" s="22" t="n">
        <f aca="false">IFERROR(IF(M3&gt;0,ROUNDUP(Premissas!$B$12/M3,0),"sem lucro"),"")</f>
        <v>160</v>
      </c>
      <c r="S3" s="15" t="s">
        <v>71</v>
      </c>
      <c r="T3" s="23" t="s">
        <v>66</v>
      </c>
      <c r="U3" s="15" t="s">
        <v>72</v>
      </c>
      <c r="V3" s="18" t="n">
        <f aca="false">IF(AND(T3="S",ISNUMBER(L3),ISNUMBER(F3)),L3*F3*X3,0)</f>
        <v>357.6</v>
      </c>
      <c r="W3" s="18" t="n">
        <f aca="false">IF(AND(T3="S",ISNUMBER(Q3)),Q3*X3,0)</f>
        <v>150.6228</v>
      </c>
      <c r="X3" s="23" t="n">
        <v>1</v>
      </c>
      <c r="Y3" s="18" t="n">
        <f aca="false">IF(AND(T3="S",ISNUMBER(G3)),G3*X3,0)</f>
        <v>161.7</v>
      </c>
    </row>
    <row r="4" customFormat="false" ht="15" hidden="false" customHeight="false" outlineLevel="0" collapsed="false">
      <c r="A4" s="14" t="s">
        <v>73</v>
      </c>
      <c r="B4" s="15" t="s">
        <v>74</v>
      </c>
      <c r="C4" s="14" t="s">
        <v>70</v>
      </c>
      <c r="D4" s="14" t="s">
        <v>63</v>
      </c>
      <c r="E4" s="14" t="n">
        <v>1</v>
      </c>
      <c r="F4" s="16" t="n">
        <v>24</v>
      </c>
      <c r="G4" s="17"/>
      <c r="H4" s="18" t="str">
        <f aca="false">IF(ISNUMBER(G4),IFERROR(G4/F4,""),"")</f>
        <v/>
      </c>
      <c r="I4" s="17" t="n">
        <v>12</v>
      </c>
      <c r="J4" s="17" t="n">
        <v>15.9</v>
      </c>
      <c r="K4" s="19" t="s">
        <v>64</v>
      </c>
      <c r="L4" s="20" t="n">
        <v>14.9</v>
      </c>
      <c r="M4" s="18" t="str">
        <f aca="false">IFERROR(L4*(1-Premissas!$B$5)*(1-Premissas!$B$6)-H4-Premissas!$B$7,"")</f>
        <v/>
      </c>
      <c r="N4" s="21" t="str">
        <f aca="false">IFERROR(M4/L4,"")</f>
        <v/>
      </c>
      <c r="O4" s="18" t="str">
        <f aca="false">IFERROR(L4*(1-Premissas!$B$8)-Premissas!$B$9-H4-Premissas!$B$7,"")</f>
        <v/>
      </c>
      <c r="P4" s="18" t="str">
        <f aca="false">IFERROR(L4*(1-Premissas!$B$10)-Premissas!$B$11-H4-Premissas!$B$7,"")</f>
        <v/>
      </c>
      <c r="Q4" s="18" t="str">
        <f aca="false">IFERROR(M4*F4,"")</f>
        <v/>
      </c>
      <c r="R4" s="22" t="str">
        <f aca="false">IFERROR(IF(M4&gt;0,ROUNDUP(Premissas!$B$12/M4,0),"sem lucro"),"")</f>
        <v/>
      </c>
      <c r="S4" s="15" t="s">
        <v>75</v>
      </c>
      <c r="T4" s="23" t="s">
        <v>76</v>
      </c>
      <c r="U4" s="15" t="s">
        <v>77</v>
      </c>
      <c r="V4" s="18" t="n">
        <f aca="false">IF(AND(T4="S",ISNUMBER(L4),ISNUMBER(F4)),L4*F4*X4,0)</f>
        <v>0</v>
      </c>
      <c r="W4" s="18" t="n">
        <f aca="false">IF(AND(T4="S",ISNUMBER(Q4)),Q4*X4,0)</f>
        <v>0</v>
      </c>
      <c r="X4" s="23" t="n">
        <v>1</v>
      </c>
      <c r="Y4" s="18" t="n">
        <f aca="false">IF(AND(T4="S",ISNUMBER(G4)),G4*X4,0)</f>
        <v>0</v>
      </c>
    </row>
    <row r="5" customFormat="false" ht="15" hidden="false" customHeight="false" outlineLevel="0" collapsed="false">
      <c r="A5" s="14" t="s">
        <v>78</v>
      </c>
      <c r="B5" s="15" t="s">
        <v>79</v>
      </c>
      <c r="C5" s="14" t="s">
        <v>70</v>
      </c>
      <c r="D5" s="14" t="s">
        <v>63</v>
      </c>
      <c r="E5" s="14" t="n">
        <v>1</v>
      </c>
      <c r="F5" s="16" t="n">
        <v>24</v>
      </c>
      <c r="G5" s="17"/>
      <c r="H5" s="18" t="str">
        <f aca="false">IF(ISNUMBER(G5),IFERROR(G5/F5,""),"")</f>
        <v/>
      </c>
      <c r="I5" s="17"/>
      <c r="J5" s="17"/>
      <c r="K5" s="19" t="s">
        <v>64</v>
      </c>
      <c r="L5" s="20"/>
      <c r="M5" s="18" t="str">
        <f aca="false">IFERROR(L5*(1-Premissas!$B$5)*(1-Premissas!$B$6)-H5-Premissas!$B$7,"")</f>
        <v/>
      </c>
      <c r="N5" s="21" t="str">
        <f aca="false">IFERROR(M5/L5,"")</f>
        <v/>
      </c>
      <c r="O5" s="18" t="str">
        <f aca="false">IFERROR(L5*(1-Premissas!$B$8)-Premissas!$B$9-H5-Premissas!$B$7,"")</f>
        <v/>
      </c>
      <c r="P5" s="18" t="str">
        <f aca="false">IFERROR(L5*(1-Premissas!$B$10)-Premissas!$B$11-H5-Premissas!$B$7,"")</f>
        <v/>
      </c>
      <c r="Q5" s="18" t="str">
        <f aca="false">IFERROR(M5*F5,"")</f>
        <v/>
      </c>
      <c r="R5" s="22" t="str">
        <f aca="false">IFERROR(IF(M5&gt;0,ROUNDUP(Premissas!$B$12/M5,0),"sem lucro"),"")</f>
        <v/>
      </c>
      <c r="S5" s="15" t="s">
        <v>75</v>
      </c>
      <c r="T5" s="23" t="s">
        <v>76</v>
      </c>
      <c r="U5" s="15" t="s">
        <v>77</v>
      </c>
      <c r="V5" s="18" t="n">
        <f aca="false">IF(AND(T5="S",ISNUMBER(L5),ISNUMBER(F5)),L5*F5*X5,0)</f>
        <v>0</v>
      </c>
      <c r="W5" s="18" t="n">
        <f aca="false">IF(AND(T5="S",ISNUMBER(Q5)),Q5*X5,0)</f>
        <v>0</v>
      </c>
      <c r="X5" s="23" t="n">
        <v>1</v>
      </c>
      <c r="Y5" s="18" t="n">
        <f aca="false">IF(AND(T5="S",ISNUMBER(G5)),G5*X5,0)</f>
        <v>0</v>
      </c>
    </row>
    <row r="6" customFormat="false" ht="15" hidden="false" customHeight="false" outlineLevel="0" collapsed="false">
      <c r="A6" s="14" t="s">
        <v>80</v>
      </c>
      <c r="B6" s="15" t="s">
        <v>81</v>
      </c>
      <c r="C6" s="14" t="s">
        <v>70</v>
      </c>
      <c r="D6" s="14" t="s">
        <v>63</v>
      </c>
      <c r="E6" s="14" t="n">
        <v>1</v>
      </c>
      <c r="F6" s="16" t="n">
        <v>24</v>
      </c>
      <c r="G6" s="17" t="n">
        <v>161.7</v>
      </c>
      <c r="H6" s="18" t="n">
        <f aca="false">IF(ISNUMBER(G6),IFERROR(G6/F6,""),"")</f>
        <v>6.7375</v>
      </c>
      <c r="I6" s="17" t="n">
        <v>12</v>
      </c>
      <c r="J6" s="17" t="n">
        <v>15.9</v>
      </c>
      <c r="K6" s="19" t="s">
        <v>64</v>
      </c>
      <c r="L6" s="20" t="n">
        <v>14.9</v>
      </c>
      <c r="M6" s="18" t="n">
        <f aca="false">IFERROR(L6*(1-Premissas!$B$5)*(1-Premissas!$B$6)-H6-Premissas!$B$7,"")</f>
        <v>6.27595</v>
      </c>
      <c r="N6" s="21" t="n">
        <f aca="false">IFERROR(M6/L6,"")</f>
        <v>0.421204697986577</v>
      </c>
      <c r="O6" s="18" t="n">
        <f aca="false">IFERROR(L6*(1-Premissas!$B$8)-Premissas!$B$9-H6-Premissas!$B$7,"")</f>
        <v>-0.8755</v>
      </c>
      <c r="P6" s="18" t="n">
        <f aca="false">IFERROR(L6*(1-Premissas!$B$10)-Premissas!$B$11-H6-Premissas!$B$7,"")</f>
        <v>0.182500000000002</v>
      </c>
      <c r="Q6" s="18" t="n">
        <f aca="false">IFERROR(M6*F6,"")</f>
        <v>150.6228</v>
      </c>
      <c r="R6" s="22" t="n">
        <f aca="false">IFERROR(IF(M6&gt;0,ROUNDUP(Premissas!$B$12/M6,0),"sem lucro"),"")</f>
        <v>160</v>
      </c>
      <c r="S6" s="15" t="s">
        <v>82</v>
      </c>
      <c r="T6" s="23" t="s">
        <v>76</v>
      </c>
      <c r="U6" s="15"/>
      <c r="V6" s="18" t="n">
        <f aca="false">IF(AND(T6="S",ISNUMBER(L6),ISNUMBER(F6)),L6*F6*X6,0)</f>
        <v>0</v>
      </c>
      <c r="W6" s="18" t="n">
        <f aca="false">IF(AND(T6="S",ISNUMBER(Q6)),Q6*X6,0)</f>
        <v>0</v>
      </c>
      <c r="X6" s="23" t="n">
        <v>1</v>
      </c>
      <c r="Y6" s="18" t="n">
        <f aca="false">IF(AND(T6="S",ISNUMBER(G6)),G6*X6,0)</f>
        <v>0</v>
      </c>
    </row>
    <row r="7" customFormat="false" ht="15" hidden="false" customHeight="false" outlineLevel="0" collapsed="false">
      <c r="A7" s="14" t="s">
        <v>83</v>
      </c>
      <c r="B7" s="15" t="s">
        <v>84</v>
      </c>
      <c r="C7" s="14" t="s">
        <v>70</v>
      </c>
      <c r="D7" s="14" t="s">
        <v>63</v>
      </c>
      <c r="E7" s="14" t="n">
        <v>1</v>
      </c>
      <c r="F7" s="16" t="n">
        <v>24</v>
      </c>
      <c r="G7" s="17" t="n">
        <v>161.7</v>
      </c>
      <c r="H7" s="18" t="n">
        <f aca="false">IF(ISNUMBER(G7),IFERROR(G7/F7,""),"")</f>
        <v>6.7375</v>
      </c>
      <c r="I7" s="17" t="n">
        <v>12</v>
      </c>
      <c r="J7" s="17" t="n">
        <v>15.9</v>
      </c>
      <c r="K7" s="19" t="s">
        <v>64</v>
      </c>
      <c r="L7" s="20" t="n">
        <v>14.9</v>
      </c>
      <c r="M7" s="18" t="n">
        <f aca="false">IFERROR(L7*(1-Premissas!$B$5)*(1-Premissas!$B$6)-H7-Premissas!$B$7,"")</f>
        <v>6.27595</v>
      </c>
      <c r="N7" s="21" t="n">
        <f aca="false">IFERROR(M7/L7,"")</f>
        <v>0.421204697986577</v>
      </c>
      <c r="O7" s="18" t="n">
        <f aca="false">IFERROR(L7*(1-Premissas!$B$8)-Premissas!$B$9-H7-Premissas!$B$7,"")</f>
        <v>-0.8755</v>
      </c>
      <c r="P7" s="18" t="n">
        <f aca="false">IFERROR(L7*(1-Premissas!$B$10)-Premissas!$B$11-H7-Premissas!$B$7,"")</f>
        <v>0.182500000000002</v>
      </c>
      <c r="Q7" s="18" t="n">
        <f aca="false">IFERROR(M7*F7,"")</f>
        <v>150.6228</v>
      </c>
      <c r="R7" s="22" t="n">
        <f aca="false">IFERROR(IF(M7&gt;0,ROUNDUP(Premissas!$B$12/M7,0),"sem lucro"),"")</f>
        <v>160</v>
      </c>
      <c r="S7" s="15" t="s">
        <v>71</v>
      </c>
      <c r="T7" s="23" t="s">
        <v>66</v>
      </c>
      <c r="U7" s="15"/>
      <c r="V7" s="18" t="n">
        <f aca="false">IF(AND(T7="S",ISNUMBER(L7),ISNUMBER(F7)),L7*F7*X7,0)</f>
        <v>357.6</v>
      </c>
      <c r="W7" s="18" t="n">
        <f aca="false">IF(AND(T7="S",ISNUMBER(Q7)),Q7*X7,0)</f>
        <v>150.6228</v>
      </c>
      <c r="X7" s="23" t="n">
        <v>1</v>
      </c>
      <c r="Y7" s="18" t="n">
        <f aca="false">IF(AND(T7="S",ISNUMBER(G7)),G7*X7,0)</f>
        <v>161.7</v>
      </c>
    </row>
    <row r="8" customFormat="false" ht="15" hidden="false" customHeight="false" outlineLevel="0" collapsed="false">
      <c r="A8" s="14" t="s">
        <v>85</v>
      </c>
      <c r="B8" s="15" t="s">
        <v>86</v>
      </c>
      <c r="C8" s="14" t="s">
        <v>70</v>
      </c>
      <c r="D8" s="14" t="s">
        <v>63</v>
      </c>
      <c r="E8" s="14" t="n">
        <v>1</v>
      </c>
      <c r="F8" s="16" t="n">
        <v>24</v>
      </c>
      <c r="G8" s="17" t="n">
        <v>163.7</v>
      </c>
      <c r="H8" s="18" t="n">
        <f aca="false">IF(ISNUMBER(G8),IFERROR(G8/F8,""),"")</f>
        <v>6.82083333333333</v>
      </c>
      <c r="I8" s="17" t="n">
        <v>15.9</v>
      </c>
      <c r="J8" s="17" t="n">
        <v>15.9</v>
      </c>
      <c r="K8" s="19" t="s">
        <v>64</v>
      </c>
      <c r="L8" s="20" t="n">
        <v>14.9</v>
      </c>
      <c r="M8" s="18" t="n">
        <f aca="false">IFERROR(L8*(1-Premissas!$B$5)*(1-Premissas!$B$6)-H8-Premissas!$B$7,"")</f>
        <v>6.19261666666667</v>
      </c>
      <c r="N8" s="21" t="n">
        <f aca="false">IFERROR(M8/L8,"")</f>
        <v>0.415611856823266</v>
      </c>
      <c r="O8" s="18" t="n">
        <f aca="false">IFERROR(L8*(1-Premissas!$B$8)-Premissas!$B$9-H8-Premissas!$B$7,"")</f>
        <v>-0.958833333333333</v>
      </c>
      <c r="P8" s="18" t="n">
        <f aca="false">IFERROR(L8*(1-Premissas!$B$10)-Premissas!$B$11-H8-Premissas!$B$7,"")</f>
        <v>0.0991666666666689</v>
      </c>
      <c r="Q8" s="18" t="n">
        <f aca="false">IFERROR(M8*F8,"")</f>
        <v>148.6228</v>
      </c>
      <c r="R8" s="22" t="n">
        <f aca="false">IFERROR(IF(M8&gt;0,ROUNDUP(Premissas!$B$12/M8,0),"sem lucro"),"")</f>
        <v>162</v>
      </c>
      <c r="S8" s="15" t="s">
        <v>71</v>
      </c>
      <c r="T8" s="23" t="s">
        <v>66</v>
      </c>
      <c r="U8" s="15"/>
      <c r="V8" s="18" t="n">
        <f aca="false">IF(AND(T8="S",ISNUMBER(L8),ISNUMBER(F8)),L8*F8*X8,0)</f>
        <v>357.6</v>
      </c>
      <c r="W8" s="18" t="n">
        <f aca="false">IF(AND(T8="S",ISNUMBER(Q8)),Q8*X8,0)</f>
        <v>148.6228</v>
      </c>
      <c r="X8" s="23" t="n">
        <v>1</v>
      </c>
      <c r="Y8" s="18" t="n">
        <f aca="false">IF(AND(T8="S",ISNUMBER(G8)),G8*X8,0)</f>
        <v>163.7</v>
      </c>
    </row>
    <row r="9" customFormat="false" ht="26.85" hidden="false" customHeight="false" outlineLevel="0" collapsed="false">
      <c r="A9" s="14" t="s">
        <v>87</v>
      </c>
      <c r="B9" s="15" t="s">
        <v>88</v>
      </c>
      <c r="C9" s="14" t="s">
        <v>70</v>
      </c>
      <c r="D9" s="14" t="s">
        <v>63</v>
      </c>
      <c r="E9" s="14" t="n">
        <v>1</v>
      </c>
      <c r="F9" s="16" t="n">
        <v>1</v>
      </c>
      <c r="G9" s="17" t="n">
        <v>5.7</v>
      </c>
      <c r="H9" s="18" t="n">
        <f aca="false">IF(ISNUMBER(G9),IFERROR(G9/F9,""),"")</f>
        <v>5.7</v>
      </c>
      <c r="I9" s="17" t="n">
        <v>7.9</v>
      </c>
      <c r="J9" s="17" t="n">
        <v>10</v>
      </c>
      <c r="K9" s="19" t="s">
        <v>64</v>
      </c>
      <c r="L9" s="20" t="n">
        <v>11.9</v>
      </c>
      <c r="M9" s="18" t="n">
        <f aca="false">IFERROR(L9*(1-Premissas!$B$5)*(1-Premissas!$B$6)-H9-Premissas!$B$7,"")</f>
        <v>4.49195</v>
      </c>
      <c r="N9" s="21" t="n">
        <f aca="false">IFERROR(M9/L9,"")</f>
        <v>0.377474789915966</v>
      </c>
      <c r="O9" s="18" t="n">
        <f aca="false">IFERROR(L9*(1-Premissas!$B$8)-Premissas!$B$9-H9-Premissas!$B$7,"")</f>
        <v>-2.478</v>
      </c>
      <c r="P9" s="18" t="n">
        <f aca="false">IFERROR(L9*(1-Premissas!$B$10)-Premissas!$B$11-H9-Premissas!$B$7,"")</f>
        <v>-1.18</v>
      </c>
      <c r="Q9" s="18" t="n">
        <f aca="false">IFERROR(M9*F9,"")</f>
        <v>4.49195</v>
      </c>
      <c r="R9" s="22" t="n">
        <f aca="false">IFERROR(IF(M9&gt;0,ROUNDUP(Premissas!$B$12/M9,0),"sem lucro"),"")</f>
        <v>223</v>
      </c>
      <c r="S9" s="15" t="s">
        <v>75</v>
      </c>
      <c r="T9" s="23" t="s">
        <v>76</v>
      </c>
      <c r="U9" s="15" t="s">
        <v>89</v>
      </c>
      <c r="V9" s="18" t="n">
        <f aca="false">IF(AND(T9="S",ISNUMBER(L9),ISNUMBER(F9)),L9*F9*X9,0)</f>
        <v>0</v>
      </c>
      <c r="W9" s="18" t="n">
        <f aca="false">IF(AND(T9="S",ISNUMBER(Q9)),Q9*X9,0)</f>
        <v>0</v>
      </c>
      <c r="X9" s="23" t="n">
        <v>12</v>
      </c>
      <c r="Y9" s="18" t="n">
        <f aca="false">IF(AND(T9="S",ISNUMBER(G9)),G9*X9,0)</f>
        <v>0</v>
      </c>
    </row>
    <row r="10" customFormat="false" ht="15" hidden="false" customHeight="false" outlineLevel="0" collapsed="false">
      <c r="A10" s="14" t="s">
        <v>90</v>
      </c>
      <c r="B10" s="15" t="s">
        <v>91</v>
      </c>
      <c r="C10" s="14" t="s">
        <v>70</v>
      </c>
      <c r="D10" s="14" t="s">
        <v>92</v>
      </c>
      <c r="E10" s="14" t="n">
        <v>1</v>
      </c>
      <c r="F10" s="16" t="n">
        <v>1</v>
      </c>
      <c r="G10" s="17" t="n">
        <v>5.7</v>
      </c>
      <c r="H10" s="18" t="n">
        <f aca="false">IF(ISNUMBER(G10),IFERROR(G10/F10,""),"")</f>
        <v>5.7</v>
      </c>
      <c r="I10" s="17" t="n">
        <v>9.99</v>
      </c>
      <c r="J10" s="17" t="n">
        <v>12</v>
      </c>
      <c r="K10" s="14" t="s">
        <v>93</v>
      </c>
      <c r="L10" s="20" t="n">
        <v>12.9</v>
      </c>
      <c r="M10" s="18" t="n">
        <f aca="false">IFERROR(L10*(1-Premissas!$B$5)*(1-Premissas!$B$6)-H10-Premissas!$B$7,"")</f>
        <v>5.43245</v>
      </c>
      <c r="N10" s="21" t="n">
        <f aca="false">IFERROR(M10/L10,"")</f>
        <v>0.42112015503876</v>
      </c>
      <c r="O10" s="18" t="n">
        <f aca="false">IFERROR(L10*(1-Premissas!$B$8)-Premissas!$B$9-H10-Premissas!$B$7,"")</f>
        <v>-1.598</v>
      </c>
      <c r="P10" s="18" t="n">
        <f aca="false">IFERROR(L10*(1-Premissas!$B$10)-Premissas!$B$11-H10-Premissas!$B$7,"")</f>
        <v>-0.38</v>
      </c>
      <c r="Q10" s="18" t="n">
        <f aca="false">IFERROR(M10*F10,"")</f>
        <v>5.43245</v>
      </c>
      <c r="R10" s="22" t="n">
        <f aca="false">IFERROR(IF(M10&gt;0,ROUNDUP(Premissas!$B$12/M10,0),"sem lucro"),"")</f>
        <v>185</v>
      </c>
      <c r="S10" s="15" t="s">
        <v>65</v>
      </c>
      <c r="T10" s="23" t="s">
        <v>66</v>
      </c>
      <c r="U10" s="15"/>
      <c r="V10" s="18" t="n">
        <f aca="false">IF(AND(T10="S",ISNUMBER(L10),ISNUMBER(F10)),L10*F10*X10,0)</f>
        <v>154.8</v>
      </c>
      <c r="W10" s="18" t="n">
        <f aca="false">IF(AND(T10="S",ISNUMBER(Q10)),Q10*X10,0)</f>
        <v>65.1894</v>
      </c>
      <c r="X10" s="23" t="n">
        <v>12</v>
      </c>
      <c r="Y10" s="18" t="n">
        <f aca="false">IF(AND(T10="S",ISNUMBER(G10)),G10*X10,0)</f>
        <v>68.4</v>
      </c>
    </row>
    <row r="11" customFormat="false" ht="15" hidden="false" customHeight="false" outlineLevel="0" collapsed="false">
      <c r="A11" s="14" t="s">
        <v>94</v>
      </c>
      <c r="B11" s="15" t="s">
        <v>95</v>
      </c>
      <c r="C11" s="14" t="s">
        <v>70</v>
      </c>
      <c r="D11" s="14" t="s">
        <v>92</v>
      </c>
      <c r="E11" s="14" t="n">
        <v>1</v>
      </c>
      <c r="F11" s="16" t="n">
        <v>1</v>
      </c>
      <c r="G11" s="17" t="n">
        <v>5.7</v>
      </c>
      <c r="H11" s="18" t="n">
        <f aca="false">IF(ISNUMBER(G11),IFERROR(G11/F11,""),"")</f>
        <v>5.7</v>
      </c>
      <c r="I11" s="17" t="n">
        <v>12.9</v>
      </c>
      <c r="J11" s="17" t="n">
        <v>16.99</v>
      </c>
      <c r="K11" s="14" t="s">
        <v>93</v>
      </c>
      <c r="L11" s="20" t="n">
        <v>14.9</v>
      </c>
      <c r="M11" s="18" t="n">
        <f aca="false">IFERROR(L11*(1-Premissas!$B$5)*(1-Premissas!$B$6)-H11-Premissas!$B$7,"")</f>
        <v>7.31345</v>
      </c>
      <c r="N11" s="21" t="n">
        <f aca="false">IFERROR(M11/L11,"")</f>
        <v>0.490835570469799</v>
      </c>
      <c r="O11" s="18" t="n">
        <f aca="false">IFERROR(L11*(1-Premissas!$B$8)-Premissas!$B$9-H11-Premissas!$B$7,"")</f>
        <v>0.162</v>
      </c>
      <c r="P11" s="18" t="n">
        <f aca="false">IFERROR(L11*(1-Premissas!$B$10)-Premissas!$B$11-H11-Premissas!$B$7,"")</f>
        <v>1.22</v>
      </c>
      <c r="Q11" s="18" t="n">
        <f aca="false">IFERROR(M11*F11,"")</f>
        <v>7.31345</v>
      </c>
      <c r="R11" s="22" t="n">
        <f aca="false">IFERROR(IF(M11&gt;0,ROUNDUP(Premissas!$B$12/M11,0),"sem lucro"),"")</f>
        <v>137</v>
      </c>
      <c r="S11" s="15" t="s">
        <v>65</v>
      </c>
      <c r="T11" s="23" t="s">
        <v>66</v>
      </c>
      <c r="U11" s="15"/>
      <c r="V11" s="18" t="n">
        <f aca="false">IF(AND(T11="S",ISNUMBER(L11),ISNUMBER(F11)),L11*F11*X11,0)</f>
        <v>178.8</v>
      </c>
      <c r="W11" s="18" t="n">
        <f aca="false">IF(AND(T11="S",ISNUMBER(Q11)),Q11*X11,0)</f>
        <v>87.7614</v>
      </c>
      <c r="X11" s="23" t="n">
        <v>12</v>
      </c>
      <c r="Y11" s="18" t="n">
        <f aca="false">IF(AND(T11="S",ISNUMBER(G11)),G11*X11,0)</f>
        <v>68.4</v>
      </c>
    </row>
    <row r="12" customFormat="false" ht="15" hidden="false" customHeight="false" outlineLevel="0" collapsed="false">
      <c r="A12" s="14" t="s">
        <v>96</v>
      </c>
      <c r="B12" s="15" t="s">
        <v>97</v>
      </c>
      <c r="C12" s="14" t="s">
        <v>70</v>
      </c>
      <c r="D12" s="14" t="s">
        <v>92</v>
      </c>
      <c r="E12" s="14" t="n">
        <v>1</v>
      </c>
      <c r="F12" s="16" t="n">
        <v>1</v>
      </c>
      <c r="G12" s="17" t="n">
        <v>5.7</v>
      </c>
      <c r="H12" s="18" t="n">
        <f aca="false">IF(ISNUMBER(G12),IFERROR(G12/F12,""),"")</f>
        <v>5.7</v>
      </c>
      <c r="I12" s="17" t="n">
        <v>9.99</v>
      </c>
      <c r="J12" s="17" t="n">
        <v>12</v>
      </c>
      <c r="K12" s="19" t="s">
        <v>64</v>
      </c>
      <c r="L12" s="20" t="n">
        <v>12.9</v>
      </c>
      <c r="M12" s="18" t="n">
        <f aca="false">IFERROR(L12*(1-Premissas!$B$5)*(1-Premissas!$B$6)-H12-Premissas!$B$7,"")</f>
        <v>5.43245</v>
      </c>
      <c r="N12" s="21" t="n">
        <f aca="false">IFERROR(M12/L12,"")</f>
        <v>0.42112015503876</v>
      </c>
      <c r="O12" s="18" t="n">
        <f aca="false">IFERROR(L12*(1-Premissas!$B$8)-Premissas!$B$9-H12-Premissas!$B$7,"")</f>
        <v>-1.598</v>
      </c>
      <c r="P12" s="18" t="n">
        <f aca="false">IFERROR(L12*(1-Premissas!$B$10)-Premissas!$B$11-H12-Premissas!$B$7,"")</f>
        <v>-0.38</v>
      </c>
      <c r="Q12" s="18" t="n">
        <f aca="false">IFERROR(M12*F12,"")</f>
        <v>5.43245</v>
      </c>
      <c r="R12" s="22" t="n">
        <f aca="false">IFERROR(IF(M12&gt;0,ROUNDUP(Premissas!$B$12/M12,0),"sem lucro"),"")</f>
        <v>185</v>
      </c>
      <c r="S12" s="15" t="s">
        <v>82</v>
      </c>
      <c r="T12" s="23" t="s">
        <v>76</v>
      </c>
      <c r="U12" s="15"/>
      <c r="V12" s="18" t="n">
        <f aca="false">IF(AND(T12="S",ISNUMBER(L12),ISNUMBER(F12)),L12*F12*X12,0)</f>
        <v>0</v>
      </c>
      <c r="W12" s="18" t="n">
        <f aca="false">IF(AND(T12="S",ISNUMBER(Q12)),Q12*X12,0)</f>
        <v>0</v>
      </c>
      <c r="X12" s="23" t="n">
        <v>12</v>
      </c>
      <c r="Y12" s="18" t="n">
        <f aca="false">IF(AND(T12="S",ISNUMBER(G12)),G12*X12,0)</f>
        <v>0</v>
      </c>
    </row>
    <row r="13" customFormat="false" ht="15" hidden="false" customHeight="false" outlineLevel="0" collapsed="false">
      <c r="A13" s="14" t="s">
        <v>98</v>
      </c>
      <c r="B13" s="15" t="s">
        <v>99</v>
      </c>
      <c r="C13" s="14" t="s">
        <v>70</v>
      </c>
      <c r="D13" s="14" t="s">
        <v>92</v>
      </c>
      <c r="E13" s="14" t="n">
        <v>1</v>
      </c>
      <c r="F13" s="16" t="n">
        <v>1</v>
      </c>
      <c r="G13" s="17" t="n">
        <v>5.7</v>
      </c>
      <c r="H13" s="18" t="n">
        <f aca="false">IF(ISNUMBER(G13),IFERROR(G13/F13,""),"")</f>
        <v>5.7</v>
      </c>
      <c r="I13" s="17" t="n">
        <v>9.99</v>
      </c>
      <c r="J13" s="17" t="n">
        <v>12</v>
      </c>
      <c r="K13" s="19" t="s">
        <v>64</v>
      </c>
      <c r="L13" s="20" t="n">
        <v>12.9</v>
      </c>
      <c r="M13" s="18" t="n">
        <f aca="false">IFERROR(L13*(1-Premissas!$B$5)*(1-Premissas!$B$6)-H13-Premissas!$B$7,"")</f>
        <v>5.43245</v>
      </c>
      <c r="N13" s="21" t="n">
        <f aca="false">IFERROR(M13/L13,"")</f>
        <v>0.42112015503876</v>
      </c>
      <c r="O13" s="18" t="n">
        <f aca="false">IFERROR(L13*(1-Premissas!$B$8)-Premissas!$B$9-H13-Premissas!$B$7,"")</f>
        <v>-1.598</v>
      </c>
      <c r="P13" s="18" t="n">
        <f aca="false">IFERROR(L13*(1-Premissas!$B$10)-Premissas!$B$11-H13-Premissas!$B$7,"")</f>
        <v>-0.38</v>
      </c>
      <c r="Q13" s="18" t="n">
        <f aca="false">IFERROR(M13*F13,"")</f>
        <v>5.43245</v>
      </c>
      <c r="R13" s="22" t="n">
        <f aca="false">IFERROR(IF(M13&gt;0,ROUNDUP(Premissas!$B$12/M13,0),"sem lucro"),"")</f>
        <v>185</v>
      </c>
      <c r="S13" s="15" t="s">
        <v>100</v>
      </c>
      <c r="T13" s="23" t="s">
        <v>66</v>
      </c>
      <c r="U13" s="15"/>
      <c r="V13" s="18" t="n">
        <f aca="false">IF(AND(T13="S",ISNUMBER(L13),ISNUMBER(F13)),L13*F13*X13,0)</f>
        <v>154.8</v>
      </c>
      <c r="W13" s="18" t="n">
        <f aca="false">IF(AND(T13="S",ISNUMBER(Q13)),Q13*X13,0)</f>
        <v>65.1894</v>
      </c>
      <c r="X13" s="23" t="n">
        <v>12</v>
      </c>
      <c r="Y13" s="18" t="n">
        <f aca="false">IF(AND(T13="S",ISNUMBER(G13)),G13*X13,0)</f>
        <v>68.4</v>
      </c>
    </row>
    <row r="14" customFormat="false" ht="15" hidden="false" customHeight="false" outlineLevel="0" collapsed="false">
      <c r="A14" s="14" t="s">
        <v>101</v>
      </c>
      <c r="B14" s="15" t="s">
        <v>102</v>
      </c>
      <c r="C14" s="14" t="s">
        <v>70</v>
      </c>
      <c r="D14" s="14" t="s">
        <v>92</v>
      </c>
      <c r="E14" s="14" t="n">
        <v>1</v>
      </c>
      <c r="F14" s="16" t="n">
        <v>1</v>
      </c>
      <c r="G14" s="17" t="n">
        <v>5.7</v>
      </c>
      <c r="H14" s="18" t="n">
        <f aca="false">IF(ISNUMBER(G14),IFERROR(G14/F14,""),"")</f>
        <v>5.7</v>
      </c>
      <c r="I14" s="17" t="n">
        <v>9.99</v>
      </c>
      <c r="J14" s="17" t="n">
        <v>12</v>
      </c>
      <c r="K14" s="14" t="s">
        <v>93</v>
      </c>
      <c r="L14" s="20" t="n">
        <v>12.9</v>
      </c>
      <c r="M14" s="18" t="n">
        <f aca="false">IFERROR(L14*(1-Premissas!$B$5)*(1-Premissas!$B$6)-H14-Premissas!$B$7,"")</f>
        <v>5.43245</v>
      </c>
      <c r="N14" s="21" t="n">
        <f aca="false">IFERROR(M14/L14,"")</f>
        <v>0.42112015503876</v>
      </c>
      <c r="O14" s="18" t="n">
        <f aca="false">IFERROR(L14*(1-Premissas!$B$8)-Premissas!$B$9-H14-Premissas!$B$7,"")</f>
        <v>-1.598</v>
      </c>
      <c r="P14" s="18" t="n">
        <f aca="false">IFERROR(L14*(1-Premissas!$B$10)-Premissas!$B$11-H14-Premissas!$B$7,"")</f>
        <v>-0.38</v>
      </c>
      <c r="Q14" s="18" t="n">
        <f aca="false">IFERROR(M14*F14,"")</f>
        <v>5.43245</v>
      </c>
      <c r="R14" s="22" t="n">
        <f aca="false">IFERROR(IF(M14&gt;0,ROUNDUP(Premissas!$B$12/M14,0),"sem lucro"),"")</f>
        <v>185</v>
      </c>
      <c r="S14" s="15" t="s">
        <v>82</v>
      </c>
      <c r="T14" s="23" t="s">
        <v>76</v>
      </c>
      <c r="U14" s="15"/>
      <c r="V14" s="18" t="n">
        <f aca="false">IF(AND(T14="S",ISNUMBER(L14),ISNUMBER(F14)),L14*F14*X14,0)</f>
        <v>0</v>
      </c>
      <c r="W14" s="18" t="n">
        <f aca="false">IF(AND(T14="S",ISNUMBER(Q14)),Q14*X14,0)</f>
        <v>0</v>
      </c>
      <c r="X14" s="23" t="n">
        <v>12</v>
      </c>
      <c r="Y14" s="18" t="n">
        <f aca="false">IF(AND(T14="S",ISNUMBER(G14)),G14*X14,0)</f>
        <v>0</v>
      </c>
    </row>
    <row r="15" customFormat="false" ht="15" hidden="false" customHeight="false" outlineLevel="0" collapsed="false">
      <c r="A15" s="14" t="s">
        <v>103</v>
      </c>
      <c r="B15" s="15" t="s">
        <v>104</v>
      </c>
      <c r="C15" s="14" t="s">
        <v>70</v>
      </c>
      <c r="D15" s="14" t="s">
        <v>92</v>
      </c>
      <c r="E15" s="14" t="n">
        <v>1</v>
      </c>
      <c r="F15" s="16" t="n">
        <v>1</v>
      </c>
      <c r="G15" s="17" t="n">
        <v>5.7</v>
      </c>
      <c r="H15" s="18" t="n">
        <f aca="false">IF(ISNUMBER(G15),IFERROR(G15/F15,""),"")</f>
        <v>5.7</v>
      </c>
      <c r="I15" s="17" t="n">
        <v>9.99</v>
      </c>
      <c r="J15" s="17" t="n">
        <v>12</v>
      </c>
      <c r="K15" s="14" t="s">
        <v>93</v>
      </c>
      <c r="L15" s="20" t="n">
        <v>12.9</v>
      </c>
      <c r="M15" s="18" t="n">
        <f aca="false">IFERROR(L15*(1-Premissas!$B$5)*(1-Premissas!$B$6)-H15-Premissas!$B$7,"")</f>
        <v>5.43245</v>
      </c>
      <c r="N15" s="21" t="n">
        <f aca="false">IFERROR(M15/L15,"")</f>
        <v>0.42112015503876</v>
      </c>
      <c r="O15" s="18" t="n">
        <f aca="false">IFERROR(L15*(1-Premissas!$B$8)-Premissas!$B$9-H15-Premissas!$B$7,"")</f>
        <v>-1.598</v>
      </c>
      <c r="P15" s="18" t="n">
        <f aca="false">IFERROR(L15*(1-Premissas!$B$10)-Premissas!$B$11-H15-Premissas!$B$7,"")</f>
        <v>-0.38</v>
      </c>
      <c r="Q15" s="18" t="n">
        <f aca="false">IFERROR(M15*F15,"")</f>
        <v>5.43245</v>
      </c>
      <c r="R15" s="22" t="n">
        <f aca="false">IFERROR(IF(M15&gt;0,ROUNDUP(Premissas!$B$12/M15,0),"sem lucro"),"")</f>
        <v>185</v>
      </c>
      <c r="S15" s="15" t="s">
        <v>82</v>
      </c>
      <c r="T15" s="23" t="s">
        <v>76</v>
      </c>
      <c r="U15" s="15"/>
      <c r="V15" s="18" t="n">
        <f aca="false">IF(AND(T15="S",ISNUMBER(L15),ISNUMBER(F15)),L15*F15*X15,0)</f>
        <v>0</v>
      </c>
      <c r="W15" s="18" t="n">
        <f aca="false">IF(AND(T15="S",ISNUMBER(Q15)),Q15*X15,0)</f>
        <v>0</v>
      </c>
      <c r="X15" s="23" t="n">
        <v>12</v>
      </c>
      <c r="Y15" s="18" t="n">
        <f aca="false">IF(AND(T15="S",ISNUMBER(G15)),G15*X15,0)</f>
        <v>0</v>
      </c>
    </row>
    <row r="16" customFormat="false" ht="15" hidden="false" customHeight="false" outlineLevel="0" collapsed="false">
      <c r="A16" s="14" t="s">
        <v>105</v>
      </c>
      <c r="B16" s="15" t="s">
        <v>106</v>
      </c>
      <c r="C16" s="14" t="s">
        <v>107</v>
      </c>
      <c r="D16" s="14" t="s">
        <v>108</v>
      </c>
      <c r="E16" s="14" t="n">
        <v>1</v>
      </c>
      <c r="F16" s="16" t="n">
        <v>1</v>
      </c>
      <c r="G16" s="17" t="n">
        <v>5.3</v>
      </c>
      <c r="H16" s="18" t="n">
        <f aca="false">IF(ISNUMBER(G16),IFERROR(G16/F16,""),"")</f>
        <v>5.3</v>
      </c>
      <c r="I16" s="17" t="n">
        <v>13.9</v>
      </c>
      <c r="J16" s="17" t="n">
        <v>19.9</v>
      </c>
      <c r="K16" s="14" t="s">
        <v>93</v>
      </c>
      <c r="L16" s="20" t="n">
        <v>16.9</v>
      </c>
      <c r="M16" s="18" t="n">
        <f aca="false">IFERROR(L16*(1-Premissas!$B$5)*(1-Premissas!$B$6)-H16-Premissas!$B$7,"")</f>
        <v>9.59445</v>
      </c>
      <c r="N16" s="21" t="n">
        <f aca="false">IFERROR(M16/L16,"")</f>
        <v>0.567718934911242</v>
      </c>
      <c r="O16" s="18" t="n">
        <f aca="false">IFERROR(L16*(1-Premissas!$B$8)-Premissas!$B$9-H16-Premissas!$B$7,"")</f>
        <v>2.322</v>
      </c>
      <c r="P16" s="18" t="n">
        <f aca="false">IFERROR(L16*(1-Premissas!$B$10)-Premissas!$B$11-H16-Premissas!$B$7,"")</f>
        <v>3.22</v>
      </c>
      <c r="Q16" s="18" t="n">
        <f aca="false">IFERROR(M16*F16,"")</f>
        <v>9.59445</v>
      </c>
      <c r="R16" s="22" t="n">
        <f aca="false">IFERROR(IF(M16&gt;0,ROUNDUP(Premissas!$B$12/M16,0),"sem lucro"),"")</f>
        <v>105</v>
      </c>
      <c r="S16" s="15" t="s">
        <v>65</v>
      </c>
      <c r="T16" s="23" t="s">
        <v>66</v>
      </c>
      <c r="U16" s="15"/>
      <c r="V16" s="18" t="n">
        <f aca="false">IF(AND(T16="S",ISNUMBER(L16),ISNUMBER(F16)),L16*F16*X16,0)</f>
        <v>202.8</v>
      </c>
      <c r="W16" s="18" t="n">
        <f aca="false">IF(AND(T16="S",ISNUMBER(Q16)),Q16*X16,0)</f>
        <v>115.1334</v>
      </c>
      <c r="X16" s="23" t="n">
        <v>12</v>
      </c>
      <c r="Y16" s="18" t="n">
        <f aca="false">IF(AND(T16="S",ISNUMBER(G16)),G16*X16,0)</f>
        <v>63.6</v>
      </c>
    </row>
    <row r="17" customFormat="false" ht="15" hidden="false" customHeight="false" outlineLevel="0" collapsed="false">
      <c r="A17" s="14" t="s">
        <v>109</v>
      </c>
      <c r="B17" s="15" t="s">
        <v>110</v>
      </c>
      <c r="C17" s="14" t="s">
        <v>107</v>
      </c>
      <c r="D17" s="14" t="s">
        <v>108</v>
      </c>
      <c r="E17" s="14" t="n">
        <v>1</v>
      </c>
      <c r="F17" s="16" t="n">
        <v>1</v>
      </c>
      <c r="G17" s="17" t="n">
        <v>2.6</v>
      </c>
      <c r="H17" s="18" t="n">
        <f aca="false">IF(ISNUMBER(G17),IFERROR(G17/F17,""),"")</f>
        <v>2.6</v>
      </c>
      <c r="I17" s="17" t="n">
        <v>6.9</v>
      </c>
      <c r="J17" s="17" t="n">
        <v>6.9</v>
      </c>
      <c r="K17" s="19" t="s">
        <v>64</v>
      </c>
      <c r="L17" s="20" t="n">
        <v>7.9</v>
      </c>
      <c r="M17" s="18" t="n">
        <f aca="false">IFERROR(L17*(1-Premissas!$B$5)*(1-Premissas!$B$6)-H17-Premissas!$B$7,"")</f>
        <v>3.82995</v>
      </c>
      <c r="N17" s="21" t="n">
        <f aca="false">IFERROR(M17/L17,"")</f>
        <v>0.484803797468354</v>
      </c>
      <c r="O17" s="18" t="n">
        <f aca="false">IFERROR(L17*(1-Premissas!$B$8)-Premissas!$B$9-H17-Premissas!$B$7,"")</f>
        <v>-2.898</v>
      </c>
      <c r="P17" s="18" t="n">
        <f aca="false">IFERROR(L17*(1-Premissas!$B$10)-Premissas!$B$11-H17-Premissas!$B$7,"")</f>
        <v>-1.28</v>
      </c>
      <c r="Q17" s="18" t="n">
        <f aca="false">IFERROR(M17*F17,"")</f>
        <v>3.82995</v>
      </c>
      <c r="R17" s="22" t="n">
        <f aca="false">IFERROR(IF(M17&gt;0,ROUNDUP(Premissas!$B$12/M17,0),"sem lucro"),"")</f>
        <v>262</v>
      </c>
      <c r="S17" s="15" t="s">
        <v>111</v>
      </c>
      <c r="T17" s="23" t="s">
        <v>76</v>
      </c>
      <c r="U17" s="15"/>
      <c r="V17" s="18" t="n">
        <f aca="false">IF(AND(T17="S",ISNUMBER(L17),ISNUMBER(F17)),L17*F17*X17,0)</f>
        <v>0</v>
      </c>
      <c r="W17" s="18" t="n">
        <f aca="false">IF(AND(T17="S",ISNUMBER(Q17)),Q17*X17,0)</f>
        <v>0</v>
      </c>
      <c r="X17" s="23" t="n">
        <v>12</v>
      </c>
      <c r="Y17" s="18" t="n">
        <f aca="false">IF(AND(T17="S",ISNUMBER(G17)),G17*X17,0)</f>
        <v>0</v>
      </c>
    </row>
    <row r="18" customFormat="false" ht="15" hidden="false" customHeight="false" outlineLevel="0" collapsed="false">
      <c r="A18" s="14" t="s">
        <v>112</v>
      </c>
      <c r="B18" s="15" t="s">
        <v>113</v>
      </c>
      <c r="C18" s="14" t="s">
        <v>107</v>
      </c>
      <c r="D18" s="14" t="s">
        <v>108</v>
      </c>
      <c r="E18" s="14" t="n">
        <v>1</v>
      </c>
      <c r="F18" s="16" t="n">
        <v>1</v>
      </c>
      <c r="G18" s="17" t="n">
        <v>2.6</v>
      </c>
      <c r="H18" s="18" t="n">
        <f aca="false">IF(ISNUMBER(G18),IFERROR(G18/F18,""),"")</f>
        <v>2.6</v>
      </c>
      <c r="I18" s="17" t="n">
        <v>6.9</v>
      </c>
      <c r="J18" s="17" t="n">
        <v>6.9</v>
      </c>
      <c r="K18" s="19" t="s">
        <v>64</v>
      </c>
      <c r="L18" s="20" t="n">
        <v>7.9</v>
      </c>
      <c r="M18" s="18" t="n">
        <f aca="false">IFERROR(L18*(1-Premissas!$B$5)*(1-Premissas!$B$6)-H18-Premissas!$B$7,"")</f>
        <v>3.82995</v>
      </c>
      <c r="N18" s="21" t="n">
        <f aca="false">IFERROR(M18/L18,"")</f>
        <v>0.484803797468354</v>
      </c>
      <c r="O18" s="18" t="n">
        <f aca="false">IFERROR(L18*(1-Premissas!$B$8)-Premissas!$B$9-H18-Premissas!$B$7,"")</f>
        <v>-2.898</v>
      </c>
      <c r="P18" s="18" t="n">
        <f aca="false">IFERROR(L18*(1-Premissas!$B$10)-Premissas!$B$11-H18-Premissas!$B$7,"")</f>
        <v>-1.28</v>
      </c>
      <c r="Q18" s="18" t="n">
        <f aca="false">IFERROR(M18*F18,"")</f>
        <v>3.82995</v>
      </c>
      <c r="R18" s="22" t="n">
        <f aca="false">IFERROR(IF(M18&gt;0,ROUNDUP(Premissas!$B$12/M18,0),"sem lucro"),"")</f>
        <v>262</v>
      </c>
      <c r="S18" s="15" t="s">
        <v>111</v>
      </c>
      <c r="T18" s="23" t="s">
        <v>76</v>
      </c>
      <c r="U18" s="15"/>
      <c r="V18" s="18" t="n">
        <f aca="false">IF(AND(T18="S",ISNUMBER(L18),ISNUMBER(F18)),L18*F18*X18,0)</f>
        <v>0</v>
      </c>
      <c r="W18" s="18" t="n">
        <f aca="false">IF(AND(T18="S",ISNUMBER(Q18)),Q18*X18,0)</f>
        <v>0</v>
      </c>
      <c r="X18" s="23" t="n">
        <v>12</v>
      </c>
      <c r="Y18" s="18" t="n">
        <f aca="false">IF(AND(T18="S",ISNUMBER(G18)),G18*X18,0)</f>
        <v>0</v>
      </c>
    </row>
    <row r="19" customFormat="false" ht="15" hidden="false" customHeight="false" outlineLevel="0" collapsed="false">
      <c r="A19" s="14" t="s">
        <v>114</v>
      </c>
      <c r="B19" s="15" t="s">
        <v>115</v>
      </c>
      <c r="C19" s="14" t="s">
        <v>116</v>
      </c>
      <c r="D19" s="14" t="s">
        <v>117</v>
      </c>
      <c r="E19" s="14" t="n">
        <v>1</v>
      </c>
      <c r="F19" s="16" t="n">
        <v>24</v>
      </c>
      <c r="G19" s="17" t="n">
        <v>101.99</v>
      </c>
      <c r="H19" s="18" t="n">
        <f aca="false">IF(ISNUMBER(G19),IFERROR(G19/F19,""),"")</f>
        <v>4.24958333333333</v>
      </c>
      <c r="I19" s="17" t="n">
        <v>10</v>
      </c>
      <c r="J19" s="17" t="n">
        <v>10</v>
      </c>
      <c r="K19" s="19" t="s">
        <v>64</v>
      </c>
      <c r="L19" s="20" t="n">
        <v>11.9</v>
      </c>
      <c r="M19" s="18" t="n">
        <f aca="false">IFERROR(L19*(1-Premissas!$B$5)*(1-Premissas!$B$6)-H19-Premissas!$B$7,"")</f>
        <v>5.94236666666667</v>
      </c>
      <c r="N19" s="21" t="n">
        <f aca="false">IFERROR(M19/L19,"")</f>
        <v>0.499358543417367</v>
      </c>
      <c r="O19" s="18" t="n">
        <f aca="false">IFERROR(L19*(1-Premissas!$B$8)-Premissas!$B$9-H19-Premissas!$B$7,"")</f>
        <v>-1.02758333333333</v>
      </c>
      <c r="P19" s="18" t="n">
        <f aca="false">IFERROR(L19*(1-Premissas!$B$10)-Premissas!$B$11-H19-Premissas!$B$7,"")</f>
        <v>0.270416666666669</v>
      </c>
      <c r="Q19" s="18" t="n">
        <f aca="false">IFERROR(M19*F19,"")</f>
        <v>142.6168</v>
      </c>
      <c r="R19" s="22" t="n">
        <f aca="false">IFERROR(IF(M19&gt;0,ROUNDUP(Premissas!$B$12/M19,0),"sem lucro"),"")</f>
        <v>169</v>
      </c>
      <c r="S19" s="15" t="s">
        <v>82</v>
      </c>
      <c r="T19" s="23" t="s">
        <v>76</v>
      </c>
      <c r="U19" s="15"/>
      <c r="V19" s="18" t="n">
        <f aca="false">IF(AND(T19="S",ISNUMBER(L19),ISNUMBER(F19)),L19*F19*X19,0)</f>
        <v>0</v>
      </c>
      <c r="W19" s="18" t="n">
        <f aca="false">IF(AND(T19="S",ISNUMBER(Q19)),Q19*X19,0)</f>
        <v>0</v>
      </c>
      <c r="X19" s="23" t="n">
        <v>1</v>
      </c>
      <c r="Y19" s="18" t="n">
        <f aca="false">IF(AND(T19="S",ISNUMBER(G19)),G19*X19,0)</f>
        <v>0</v>
      </c>
    </row>
    <row r="20" customFormat="false" ht="15" hidden="false" customHeight="false" outlineLevel="0" collapsed="false">
      <c r="A20" s="14" t="s">
        <v>118</v>
      </c>
      <c r="B20" s="15" t="s">
        <v>119</v>
      </c>
      <c r="C20" s="14" t="s">
        <v>116</v>
      </c>
      <c r="D20" s="14" t="s">
        <v>117</v>
      </c>
      <c r="E20" s="14" t="n">
        <v>1</v>
      </c>
      <c r="F20" s="16" t="n">
        <v>24</v>
      </c>
      <c r="G20" s="17" t="n">
        <v>90.99</v>
      </c>
      <c r="H20" s="18" t="n">
        <f aca="false">IF(ISNUMBER(G20),IFERROR(G20/F20,""),"")</f>
        <v>3.79125</v>
      </c>
      <c r="I20" s="17" t="n">
        <v>10</v>
      </c>
      <c r="J20" s="17" t="n">
        <v>10</v>
      </c>
      <c r="K20" s="19" t="s">
        <v>64</v>
      </c>
      <c r="L20" s="20" t="n">
        <v>9.9</v>
      </c>
      <c r="M20" s="18" t="n">
        <f aca="false">IFERROR(L20*(1-Premissas!$B$5)*(1-Premissas!$B$6)-H20-Premissas!$B$7,"")</f>
        <v>4.5197</v>
      </c>
      <c r="N20" s="21" t="n">
        <f aca="false">IFERROR(M20/L20,"")</f>
        <v>0.456535353535354</v>
      </c>
      <c r="O20" s="18" t="n">
        <f aca="false">IFERROR(L20*(1-Premissas!$B$8)-Premissas!$B$9-H20-Premissas!$B$7,"")</f>
        <v>-2.32925</v>
      </c>
      <c r="P20" s="18" t="n">
        <f aca="false">IFERROR(L20*(1-Premissas!$B$10)-Premissas!$B$11-H20-Premissas!$B$7,"")</f>
        <v>-0.871249999999999</v>
      </c>
      <c r="Q20" s="18" t="n">
        <f aca="false">IFERROR(M20*F20,"")</f>
        <v>108.4728</v>
      </c>
      <c r="R20" s="22" t="n">
        <f aca="false">IFERROR(IF(M20&gt;0,ROUNDUP(Premissas!$B$12/M20,0),"sem lucro"),"")</f>
        <v>222</v>
      </c>
      <c r="S20" s="15" t="s">
        <v>120</v>
      </c>
      <c r="T20" s="23" t="s">
        <v>76</v>
      </c>
      <c r="U20" s="15"/>
      <c r="V20" s="18" t="n">
        <f aca="false">IF(AND(T20="S",ISNUMBER(L20),ISNUMBER(F20)),L20*F20*X20,0)</f>
        <v>0</v>
      </c>
      <c r="W20" s="18" t="n">
        <f aca="false">IF(AND(T20="S",ISNUMBER(Q20)),Q20*X20,0)</f>
        <v>0</v>
      </c>
      <c r="X20" s="23" t="n">
        <v>1</v>
      </c>
      <c r="Y20" s="18" t="n">
        <f aca="false">IF(AND(T20="S",ISNUMBER(G20)),G20*X20,0)</f>
        <v>0</v>
      </c>
    </row>
    <row r="21" customFormat="false" ht="15" hidden="false" customHeight="false" outlineLevel="0" collapsed="false">
      <c r="A21" s="14" t="s">
        <v>121</v>
      </c>
      <c r="B21" s="15" t="s">
        <v>122</v>
      </c>
      <c r="C21" s="14" t="s">
        <v>116</v>
      </c>
      <c r="D21" s="14" t="s">
        <v>117</v>
      </c>
      <c r="E21" s="14" t="n">
        <v>1</v>
      </c>
      <c r="F21" s="16" t="n">
        <v>24</v>
      </c>
      <c r="G21" s="17" t="n">
        <v>64.2</v>
      </c>
      <c r="H21" s="18" t="n">
        <f aca="false">IF(ISNUMBER(G21),IFERROR(G21/F21,""),"")</f>
        <v>2.675</v>
      </c>
      <c r="I21" s="17" t="n">
        <v>5</v>
      </c>
      <c r="J21" s="17" t="n">
        <v>10</v>
      </c>
      <c r="K21" s="19" t="s">
        <v>64</v>
      </c>
      <c r="L21" s="20" t="n">
        <v>7.9</v>
      </c>
      <c r="M21" s="18" t="n">
        <f aca="false">IFERROR(L21*(1-Premissas!$B$5)*(1-Premissas!$B$6)-H21-Premissas!$B$7,"")</f>
        <v>3.75495</v>
      </c>
      <c r="N21" s="21" t="n">
        <f aca="false">IFERROR(M21/L21,"")</f>
        <v>0.475310126582278</v>
      </c>
      <c r="O21" s="18" t="n">
        <f aca="false">IFERROR(L21*(1-Premissas!$B$8)-Premissas!$B$9-H21-Premissas!$B$7,"")</f>
        <v>-2.973</v>
      </c>
      <c r="P21" s="18" t="n">
        <f aca="false">IFERROR(L21*(1-Premissas!$B$10)-Premissas!$B$11-H21-Premissas!$B$7,"")</f>
        <v>-1.355</v>
      </c>
      <c r="Q21" s="18" t="n">
        <f aca="false">IFERROR(M21*F21,"")</f>
        <v>90.1188</v>
      </c>
      <c r="R21" s="22" t="n">
        <f aca="false">IFERROR(IF(M21&gt;0,ROUNDUP(Premissas!$B$12/M21,0),"sem lucro"),"")</f>
        <v>267</v>
      </c>
      <c r="S21" s="15" t="s">
        <v>111</v>
      </c>
      <c r="T21" s="23" t="s">
        <v>76</v>
      </c>
      <c r="U21" s="15"/>
      <c r="V21" s="18" t="n">
        <f aca="false">IF(AND(T21="S",ISNUMBER(L21),ISNUMBER(F21)),L21*F21*X21,0)</f>
        <v>0</v>
      </c>
      <c r="W21" s="18" t="n">
        <f aca="false">IF(AND(T21="S",ISNUMBER(Q21)),Q21*X21,0)</f>
        <v>0</v>
      </c>
      <c r="X21" s="23" t="n">
        <v>1</v>
      </c>
      <c r="Y21" s="18" t="n">
        <f aca="false">IF(AND(T21="S",ISNUMBER(G21)),G21*X21,0)</f>
        <v>0</v>
      </c>
    </row>
    <row r="22" customFormat="false" ht="15" hidden="false" customHeight="false" outlineLevel="0" collapsed="false">
      <c r="A22" s="14" t="s">
        <v>123</v>
      </c>
      <c r="B22" s="15" t="s">
        <v>124</v>
      </c>
      <c r="C22" s="14" t="s">
        <v>116</v>
      </c>
      <c r="D22" s="14" t="s">
        <v>125</v>
      </c>
      <c r="E22" s="14" t="n">
        <v>2</v>
      </c>
      <c r="F22" s="16" t="n">
        <v>24</v>
      </c>
      <c r="G22" s="17" t="n">
        <v>160.4</v>
      </c>
      <c r="H22" s="18" t="n">
        <f aca="false">IF(ISNUMBER(G22),IFERROR(G22/F22,""),"")</f>
        <v>6.68333333333333</v>
      </c>
      <c r="I22" s="17" t="n">
        <v>12.9</v>
      </c>
      <c r="J22" s="17" t="n">
        <v>12.9</v>
      </c>
      <c r="K22" s="19" t="s">
        <v>64</v>
      </c>
      <c r="L22" s="20" t="n">
        <v>12.9</v>
      </c>
      <c r="M22" s="18" t="n">
        <f aca="false">IFERROR(L22*(1-Premissas!$B$5)*(1-Premissas!$B$6)-H22-Premissas!$B$7,"")</f>
        <v>4.44911666666667</v>
      </c>
      <c r="N22" s="21" t="n">
        <f aca="false">IFERROR(M22/L22,"")</f>
        <v>0.344892764857881</v>
      </c>
      <c r="O22" s="18" t="n">
        <f aca="false">IFERROR(L22*(1-Premissas!$B$8)-Premissas!$B$9-H22-Premissas!$B$7,"")</f>
        <v>-2.58133333333333</v>
      </c>
      <c r="P22" s="18" t="n">
        <f aca="false">IFERROR(L22*(1-Premissas!$B$10)-Premissas!$B$11-H22-Premissas!$B$7,"")</f>
        <v>-1.36333333333333</v>
      </c>
      <c r="Q22" s="18" t="n">
        <f aca="false">IFERROR(M22*F22,"")</f>
        <v>106.7788</v>
      </c>
      <c r="R22" s="22" t="n">
        <f aca="false">IFERROR(IF(M22&gt;0,ROUNDUP(Premissas!$B$12/M22,0),"sem lucro"),"")</f>
        <v>225</v>
      </c>
      <c r="S22" s="15" t="s">
        <v>126</v>
      </c>
      <c r="T22" s="23" t="s">
        <v>76</v>
      </c>
      <c r="U22" s="15"/>
      <c r="V22" s="18" t="n">
        <f aca="false">IF(AND(T22="S",ISNUMBER(L22),ISNUMBER(F22)),L22*F22*X22,0)</f>
        <v>0</v>
      </c>
      <c r="W22" s="18" t="n">
        <f aca="false">IF(AND(T22="S",ISNUMBER(Q22)),Q22*X22,0)</f>
        <v>0</v>
      </c>
      <c r="X22" s="23" t="n">
        <v>1</v>
      </c>
      <c r="Y22" s="18" t="n">
        <f aca="false">IF(AND(T22="S",ISNUMBER(G22)),G22*X22,0)</f>
        <v>0</v>
      </c>
    </row>
    <row r="23" customFormat="false" ht="26.85" hidden="false" customHeight="false" outlineLevel="0" collapsed="false">
      <c r="A23" s="14" t="s">
        <v>127</v>
      </c>
      <c r="B23" s="15" t="s">
        <v>128</v>
      </c>
      <c r="C23" s="14" t="s">
        <v>129</v>
      </c>
      <c r="D23" s="14" t="s">
        <v>125</v>
      </c>
      <c r="E23" s="14" t="n">
        <v>2</v>
      </c>
      <c r="F23" s="16" t="n">
        <v>10</v>
      </c>
      <c r="G23" s="17" t="n">
        <v>37.8</v>
      </c>
      <c r="H23" s="18" t="n">
        <f aca="false">IF(ISNUMBER(G23),IFERROR(G23/F23,""),"")</f>
        <v>3.78</v>
      </c>
      <c r="I23" s="17" t="n">
        <v>4.06</v>
      </c>
      <c r="J23" s="17" t="n">
        <v>10.99</v>
      </c>
      <c r="K23" s="14" t="s">
        <v>93</v>
      </c>
      <c r="L23" s="20" t="n">
        <v>9.9</v>
      </c>
      <c r="M23" s="18" t="n">
        <f aca="false">IFERROR(L23*(1-Premissas!$B$5)*(1-Premissas!$B$6)-H23-Premissas!$B$7,"")</f>
        <v>4.53095</v>
      </c>
      <c r="N23" s="21" t="n">
        <f aca="false">IFERROR(M23/L23,"")</f>
        <v>0.457671717171717</v>
      </c>
      <c r="O23" s="18" t="n">
        <f aca="false">IFERROR(L23*(1-Premissas!$B$8)-Premissas!$B$9-H23-Premissas!$B$7,"")</f>
        <v>-2.318</v>
      </c>
      <c r="P23" s="18" t="n">
        <f aca="false">IFERROR(L23*(1-Premissas!$B$10)-Premissas!$B$11-H23-Premissas!$B$7,"")</f>
        <v>-0.859999999999999</v>
      </c>
      <c r="Q23" s="18" t="n">
        <f aca="false">IFERROR(M23*F23,"")</f>
        <v>45.3095</v>
      </c>
      <c r="R23" s="22" t="n">
        <f aca="false">IFERROR(IF(M23&gt;0,ROUNDUP(Premissas!$B$12/M23,0),"sem lucro"),"")</f>
        <v>221</v>
      </c>
      <c r="S23" s="15" t="s">
        <v>65</v>
      </c>
      <c r="T23" s="23" t="s">
        <v>66</v>
      </c>
      <c r="U23" s="15" t="s">
        <v>130</v>
      </c>
      <c r="V23" s="18" t="n">
        <f aca="false">IF(AND(T23="S",ISNUMBER(L23),ISNUMBER(F23)),L23*F23*X23,0)</f>
        <v>99</v>
      </c>
      <c r="W23" s="18" t="n">
        <f aca="false">IF(AND(T23="S",ISNUMBER(Q23)),Q23*X23,0)</f>
        <v>45.3095</v>
      </c>
      <c r="X23" s="23" t="n">
        <v>1</v>
      </c>
      <c r="Y23" s="18" t="n">
        <f aca="false">IF(AND(T23="S",ISNUMBER(G23)),G23*X23,0)</f>
        <v>37.8</v>
      </c>
    </row>
    <row r="24" customFormat="false" ht="15" hidden="false" customHeight="false" outlineLevel="0" collapsed="false">
      <c r="A24" s="14" t="s">
        <v>131</v>
      </c>
      <c r="B24" s="15" t="s">
        <v>132</v>
      </c>
      <c r="C24" s="14" t="s">
        <v>133</v>
      </c>
      <c r="D24" s="14" t="s">
        <v>92</v>
      </c>
      <c r="E24" s="14" t="n">
        <v>2</v>
      </c>
      <c r="F24" s="16" t="n">
        <v>1</v>
      </c>
      <c r="G24" s="17" t="n">
        <v>6.3</v>
      </c>
      <c r="H24" s="18" t="n">
        <f aca="false">IF(ISNUMBER(G24),IFERROR(G24/F24,""),"")</f>
        <v>6.3</v>
      </c>
      <c r="I24" s="17" t="n">
        <v>15</v>
      </c>
      <c r="J24" s="17" t="n">
        <v>20</v>
      </c>
      <c r="K24" s="19" t="s">
        <v>64</v>
      </c>
      <c r="L24" s="20" t="n">
        <v>16.9</v>
      </c>
      <c r="M24" s="18" t="n">
        <f aca="false">IFERROR(L24*(1-Premissas!$B$5)*(1-Premissas!$B$6)-H24-Premissas!$B$7,"")</f>
        <v>8.59445</v>
      </c>
      <c r="N24" s="21" t="n">
        <f aca="false">IFERROR(M24/L24,"")</f>
        <v>0.508547337278106</v>
      </c>
      <c r="O24" s="18" t="n">
        <f aca="false">IFERROR(L24*(1-Premissas!$B$8)-Premissas!$B$9-H24-Premissas!$B$7,"")</f>
        <v>1.322</v>
      </c>
      <c r="P24" s="18" t="n">
        <f aca="false">IFERROR(L24*(1-Premissas!$B$10)-Premissas!$B$11-H24-Premissas!$B$7,"")</f>
        <v>2.22</v>
      </c>
      <c r="Q24" s="18" t="n">
        <f aca="false">IFERROR(M24*F24,"")</f>
        <v>8.59445</v>
      </c>
      <c r="R24" s="22" t="n">
        <f aca="false">IFERROR(IF(M24&gt;0,ROUNDUP(Premissas!$B$12/M24,0),"sem lucro"),"")</f>
        <v>117</v>
      </c>
      <c r="S24" s="15" t="s">
        <v>134</v>
      </c>
      <c r="T24" s="23" t="s">
        <v>66</v>
      </c>
      <c r="U24" s="15"/>
      <c r="V24" s="18" t="n">
        <f aca="false">IF(AND(T24="S",ISNUMBER(L24),ISNUMBER(F24)),L24*F24*X24,0)</f>
        <v>202.8</v>
      </c>
      <c r="W24" s="18" t="n">
        <f aca="false">IF(AND(T24="S",ISNUMBER(Q24)),Q24*X24,0)</f>
        <v>103.1334</v>
      </c>
      <c r="X24" s="23" t="n">
        <v>12</v>
      </c>
      <c r="Y24" s="18" t="n">
        <f aca="false">IF(AND(T24="S",ISNUMBER(G24)),G24*X24,0)</f>
        <v>75.6</v>
      </c>
    </row>
    <row r="25" customFormat="false" ht="15" hidden="false" customHeight="false" outlineLevel="0" collapsed="false">
      <c r="A25" s="14" t="s">
        <v>135</v>
      </c>
      <c r="B25" s="15" t="s">
        <v>136</v>
      </c>
      <c r="C25" s="14" t="s">
        <v>133</v>
      </c>
      <c r="D25" s="14" t="s">
        <v>92</v>
      </c>
      <c r="E25" s="14" t="n">
        <v>2</v>
      </c>
      <c r="F25" s="16" t="n">
        <v>1</v>
      </c>
      <c r="G25" s="17" t="n">
        <v>6.3</v>
      </c>
      <c r="H25" s="18" t="n">
        <f aca="false">IF(ISNUMBER(G25),IFERROR(G25/F25,""),"")</f>
        <v>6.3</v>
      </c>
      <c r="I25" s="17" t="n">
        <v>15</v>
      </c>
      <c r="J25" s="17" t="n">
        <v>20</v>
      </c>
      <c r="K25" s="19" t="s">
        <v>64</v>
      </c>
      <c r="L25" s="20" t="n">
        <v>16.9</v>
      </c>
      <c r="M25" s="18" t="n">
        <f aca="false">IFERROR(L25*(1-Premissas!$B$5)*(1-Premissas!$B$6)-H25-Premissas!$B$7,"")</f>
        <v>8.59445</v>
      </c>
      <c r="N25" s="21" t="n">
        <f aca="false">IFERROR(M25/L25,"")</f>
        <v>0.508547337278106</v>
      </c>
      <c r="O25" s="18" t="n">
        <f aca="false">IFERROR(L25*(1-Premissas!$B$8)-Premissas!$B$9-H25-Premissas!$B$7,"")</f>
        <v>1.322</v>
      </c>
      <c r="P25" s="18" t="n">
        <f aca="false">IFERROR(L25*(1-Premissas!$B$10)-Premissas!$B$11-H25-Premissas!$B$7,"")</f>
        <v>2.22</v>
      </c>
      <c r="Q25" s="18" t="n">
        <f aca="false">IFERROR(M25*F25,"")</f>
        <v>8.59445</v>
      </c>
      <c r="R25" s="22" t="n">
        <f aca="false">IFERROR(IF(M25&gt;0,ROUNDUP(Premissas!$B$12/M25,0),"sem lucro"),"")</f>
        <v>117</v>
      </c>
      <c r="S25" s="15" t="s">
        <v>134</v>
      </c>
      <c r="T25" s="23" t="s">
        <v>66</v>
      </c>
      <c r="U25" s="15"/>
      <c r="V25" s="18" t="n">
        <f aca="false">IF(AND(T25="S",ISNUMBER(L25),ISNUMBER(F25)),L25*F25*X25,0)</f>
        <v>202.8</v>
      </c>
      <c r="W25" s="18" t="n">
        <f aca="false">IF(AND(T25="S",ISNUMBER(Q25)),Q25*X25,0)</f>
        <v>103.1334</v>
      </c>
      <c r="X25" s="23" t="n">
        <v>12</v>
      </c>
      <c r="Y25" s="18" t="n">
        <f aca="false">IF(AND(T25="S",ISNUMBER(G25)),G25*X25,0)</f>
        <v>75.6</v>
      </c>
    </row>
    <row r="26" customFormat="false" ht="15" hidden="false" customHeight="false" outlineLevel="0" collapsed="false">
      <c r="A26" s="14" t="s">
        <v>137</v>
      </c>
      <c r="B26" s="15" t="s">
        <v>138</v>
      </c>
      <c r="C26" s="14" t="s">
        <v>133</v>
      </c>
      <c r="D26" s="14" t="s">
        <v>92</v>
      </c>
      <c r="E26" s="14" t="n">
        <v>2</v>
      </c>
      <c r="F26" s="16" t="n">
        <v>1</v>
      </c>
      <c r="G26" s="17" t="n">
        <v>6.3</v>
      </c>
      <c r="H26" s="18" t="n">
        <f aca="false">IF(ISNUMBER(G26),IFERROR(G26/F26,""),"")</f>
        <v>6.3</v>
      </c>
      <c r="I26" s="17" t="n">
        <v>15</v>
      </c>
      <c r="J26" s="17" t="n">
        <v>20</v>
      </c>
      <c r="K26" s="19" t="s">
        <v>64</v>
      </c>
      <c r="L26" s="20" t="n">
        <v>16.9</v>
      </c>
      <c r="M26" s="18" t="n">
        <f aca="false">IFERROR(L26*(1-Premissas!$B$5)*(1-Premissas!$B$6)-H26-Premissas!$B$7,"")</f>
        <v>8.59445</v>
      </c>
      <c r="N26" s="21" t="n">
        <f aca="false">IFERROR(M26/L26,"")</f>
        <v>0.508547337278106</v>
      </c>
      <c r="O26" s="18" t="n">
        <f aca="false">IFERROR(L26*(1-Premissas!$B$8)-Premissas!$B$9-H26-Premissas!$B$7,"")</f>
        <v>1.322</v>
      </c>
      <c r="P26" s="18" t="n">
        <f aca="false">IFERROR(L26*(1-Premissas!$B$10)-Premissas!$B$11-H26-Premissas!$B$7,"")</f>
        <v>2.22</v>
      </c>
      <c r="Q26" s="18" t="n">
        <f aca="false">IFERROR(M26*F26,"")</f>
        <v>8.59445</v>
      </c>
      <c r="R26" s="22" t="n">
        <f aca="false">IFERROR(IF(M26&gt;0,ROUNDUP(Premissas!$B$12/M26,0),"sem lucro"),"")</f>
        <v>117</v>
      </c>
      <c r="S26" s="15" t="s">
        <v>134</v>
      </c>
      <c r="T26" s="23" t="s">
        <v>66</v>
      </c>
      <c r="U26" s="15"/>
      <c r="V26" s="18" t="n">
        <f aca="false">IF(AND(T26="S",ISNUMBER(L26),ISNUMBER(F26)),L26*F26*X26,0)</f>
        <v>202.8</v>
      </c>
      <c r="W26" s="18" t="n">
        <f aca="false">IF(AND(T26="S",ISNUMBER(Q26)),Q26*X26,0)</f>
        <v>103.1334</v>
      </c>
      <c r="X26" s="23" t="n">
        <v>12</v>
      </c>
      <c r="Y26" s="18" t="n">
        <f aca="false">IF(AND(T26="S",ISNUMBER(G26)),G26*X26,0)</f>
        <v>75.6</v>
      </c>
    </row>
    <row r="27" customFormat="false" ht="15" hidden="false" customHeight="false" outlineLevel="0" collapsed="false">
      <c r="A27" s="14" t="s">
        <v>139</v>
      </c>
      <c r="B27" s="15" t="s">
        <v>140</v>
      </c>
      <c r="C27" s="14" t="s">
        <v>133</v>
      </c>
      <c r="D27" s="14" t="s">
        <v>141</v>
      </c>
      <c r="E27" s="14" t="n">
        <v>2</v>
      </c>
      <c r="F27" s="16" t="n">
        <v>1</v>
      </c>
      <c r="G27" s="17" t="n">
        <v>6.9</v>
      </c>
      <c r="H27" s="18" t="n">
        <f aca="false">IF(ISNUMBER(G27),IFERROR(G27/F27,""),"")</f>
        <v>6.9</v>
      </c>
      <c r="I27" s="17" t="n">
        <v>20</v>
      </c>
      <c r="J27" s="17" t="n">
        <v>30</v>
      </c>
      <c r="K27" s="19" t="s">
        <v>64</v>
      </c>
      <c r="L27" s="20" t="n">
        <v>19.9</v>
      </c>
      <c r="M27" s="18" t="n">
        <f aca="false">IFERROR(L27*(1-Premissas!$B$5)*(1-Premissas!$B$6)-H27-Premissas!$B$7,"")</f>
        <v>10.81595</v>
      </c>
      <c r="N27" s="21" t="n">
        <f aca="false">IFERROR(M27/L27,"")</f>
        <v>0.543515075376884</v>
      </c>
      <c r="O27" s="18" t="n">
        <f aca="false">IFERROR(L27*(1-Premissas!$B$8)-Premissas!$B$9-H27-Premissas!$B$7,"")</f>
        <v>3.362</v>
      </c>
      <c r="P27" s="18" t="n">
        <f aca="false">IFERROR(L27*(1-Premissas!$B$10)-Premissas!$B$11-H27-Premissas!$B$7,"")</f>
        <v>4.02</v>
      </c>
      <c r="Q27" s="18" t="n">
        <f aca="false">IFERROR(M27*F27,"")</f>
        <v>10.81595</v>
      </c>
      <c r="R27" s="22" t="n">
        <f aca="false">IFERROR(IF(M27&gt;0,ROUNDUP(Premissas!$B$12/M27,0),"sem lucro"),"")</f>
        <v>93</v>
      </c>
      <c r="S27" s="15" t="s">
        <v>65</v>
      </c>
      <c r="T27" s="23" t="s">
        <v>66</v>
      </c>
      <c r="U27" s="15" t="s">
        <v>142</v>
      </c>
      <c r="V27" s="18" t="n">
        <f aca="false">IF(AND(T27="S",ISNUMBER(L27),ISNUMBER(F27)),L27*F27*X27,0)</f>
        <v>238.8</v>
      </c>
      <c r="W27" s="18" t="n">
        <f aca="false">IF(AND(T27="S",ISNUMBER(Q27)),Q27*X27,0)</f>
        <v>129.7914</v>
      </c>
      <c r="X27" s="23" t="n">
        <v>12</v>
      </c>
      <c r="Y27" s="18" t="n">
        <f aca="false">IF(AND(T27="S",ISNUMBER(G27)),G27*X27,0)</f>
        <v>82.8</v>
      </c>
    </row>
    <row r="28" customFormat="false" ht="15" hidden="false" customHeight="false" outlineLevel="0" collapsed="false">
      <c r="A28" s="14" t="s">
        <v>143</v>
      </c>
      <c r="B28" s="15" t="s">
        <v>144</v>
      </c>
      <c r="C28" s="14" t="s">
        <v>145</v>
      </c>
      <c r="D28" s="14" t="s">
        <v>117</v>
      </c>
      <c r="E28" s="14" t="n">
        <v>2</v>
      </c>
      <c r="F28" s="16" t="n">
        <v>24</v>
      </c>
      <c r="G28" s="17" t="n">
        <v>165.3</v>
      </c>
      <c r="H28" s="18" t="n">
        <f aca="false">IF(ISNUMBER(G28),IFERROR(G28/F28,""),"")</f>
        <v>6.8875</v>
      </c>
      <c r="I28" s="17" t="n">
        <v>14.9</v>
      </c>
      <c r="J28" s="17" t="n">
        <v>14.9</v>
      </c>
      <c r="K28" s="19" t="s">
        <v>64</v>
      </c>
      <c r="L28" s="20" t="n">
        <v>14.9</v>
      </c>
      <c r="M28" s="18" t="n">
        <f aca="false">IFERROR(L28*(1-Premissas!$B$5)*(1-Premissas!$B$6)-H28-Premissas!$B$7,"")</f>
        <v>6.12595</v>
      </c>
      <c r="N28" s="21" t="n">
        <f aca="false">IFERROR(M28/L28,"")</f>
        <v>0.411137583892617</v>
      </c>
      <c r="O28" s="18" t="n">
        <f aca="false">IFERROR(L28*(1-Premissas!$B$8)-Premissas!$B$9-H28-Premissas!$B$7,"")</f>
        <v>-1.0255</v>
      </c>
      <c r="P28" s="18" t="n">
        <f aca="false">IFERROR(L28*(1-Premissas!$B$10)-Premissas!$B$11-H28-Premissas!$B$7,"")</f>
        <v>0.0325000000000015</v>
      </c>
      <c r="Q28" s="18" t="n">
        <f aca="false">IFERROR(M28*F28,"")</f>
        <v>147.0228</v>
      </c>
      <c r="R28" s="22" t="n">
        <f aca="false">IFERROR(IF(M28&gt;0,ROUNDUP(Premissas!$B$12/M28,0),"sem lucro"),"")</f>
        <v>164</v>
      </c>
      <c r="S28" s="15" t="s">
        <v>82</v>
      </c>
      <c r="T28" s="23" t="s">
        <v>76</v>
      </c>
      <c r="U28" s="15"/>
      <c r="V28" s="18" t="n">
        <f aca="false">IF(AND(T28="S",ISNUMBER(L28),ISNUMBER(F28)),L28*F28*X28,0)</f>
        <v>0</v>
      </c>
      <c r="W28" s="18" t="n">
        <f aca="false">IF(AND(T28="S",ISNUMBER(Q28)),Q28*X28,0)</f>
        <v>0</v>
      </c>
      <c r="X28" s="23" t="n">
        <v>1</v>
      </c>
      <c r="Y28" s="18" t="n">
        <f aca="false">IF(AND(T28="S",ISNUMBER(G28)),G28*X28,0)</f>
        <v>0</v>
      </c>
    </row>
    <row r="29" customFormat="false" ht="15" hidden="false" customHeight="false" outlineLevel="0" collapsed="false">
      <c r="A29" s="14" t="s">
        <v>146</v>
      </c>
      <c r="B29" s="15" t="s">
        <v>147</v>
      </c>
      <c r="C29" s="14" t="s">
        <v>148</v>
      </c>
      <c r="D29" s="14" t="s">
        <v>117</v>
      </c>
      <c r="E29" s="14" t="n">
        <v>2</v>
      </c>
      <c r="F29" s="16" t="n">
        <v>24</v>
      </c>
      <c r="G29" s="17" t="n">
        <v>95.6</v>
      </c>
      <c r="H29" s="18" t="n">
        <f aca="false">IF(ISNUMBER(G29),IFERROR(G29/F29,""),"")</f>
        <v>3.98333333333333</v>
      </c>
      <c r="I29" s="17" t="n">
        <v>7.39</v>
      </c>
      <c r="J29" s="17" t="n">
        <v>7.39</v>
      </c>
      <c r="K29" s="14" t="s">
        <v>93</v>
      </c>
      <c r="L29" s="20" t="n">
        <v>9.9</v>
      </c>
      <c r="M29" s="18" t="n">
        <f aca="false">IFERROR(L29*(1-Premissas!$B$5)*(1-Premissas!$B$6)-H29-Premissas!$B$7,"")</f>
        <v>4.32761666666667</v>
      </c>
      <c r="N29" s="21" t="n">
        <f aca="false">IFERROR(M29/L29,"")</f>
        <v>0.437132996632997</v>
      </c>
      <c r="O29" s="18" t="n">
        <f aca="false">IFERROR(L29*(1-Premissas!$B$8)-Premissas!$B$9-H29-Premissas!$B$7,"")</f>
        <v>-2.52133333333333</v>
      </c>
      <c r="P29" s="18" t="n">
        <f aca="false">IFERROR(L29*(1-Premissas!$B$10)-Premissas!$B$11-H29-Premissas!$B$7,"")</f>
        <v>-1.06333333333333</v>
      </c>
      <c r="Q29" s="18" t="n">
        <f aca="false">IFERROR(M29*F29,"")</f>
        <v>103.8628</v>
      </c>
      <c r="R29" s="22" t="n">
        <f aca="false">IFERROR(IF(M29&gt;0,ROUNDUP(Premissas!$B$12/M29,0),"sem lucro"),"")</f>
        <v>232</v>
      </c>
      <c r="S29" s="15" t="s">
        <v>82</v>
      </c>
      <c r="T29" s="23" t="s">
        <v>76</v>
      </c>
      <c r="U29" s="15"/>
      <c r="V29" s="18" t="n">
        <f aca="false">IF(AND(T29="S",ISNUMBER(L29),ISNUMBER(F29)),L29*F29*X29,0)</f>
        <v>0</v>
      </c>
      <c r="W29" s="18" t="n">
        <f aca="false">IF(AND(T29="S",ISNUMBER(Q29)),Q29*X29,0)</f>
        <v>0</v>
      </c>
      <c r="X29" s="23" t="n">
        <v>1</v>
      </c>
      <c r="Y29" s="18" t="n">
        <f aca="false">IF(AND(T29="S",ISNUMBER(G29)),G29*X29,0)</f>
        <v>0</v>
      </c>
    </row>
    <row r="30" customFormat="false" ht="15" hidden="false" customHeight="false" outlineLevel="0" collapsed="false">
      <c r="A30" s="14" t="s">
        <v>149</v>
      </c>
      <c r="B30" s="15" t="s">
        <v>150</v>
      </c>
      <c r="C30" s="14" t="s">
        <v>148</v>
      </c>
      <c r="D30" s="14" t="s">
        <v>117</v>
      </c>
      <c r="E30" s="14" t="n">
        <v>2</v>
      </c>
      <c r="F30" s="16" t="n">
        <v>24</v>
      </c>
      <c r="G30" s="17" t="n">
        <v>147.5</v>
      </c>
      <c r="H30" s="18" t="n">
        <f aca="false">IF(ISNUMBER(G30),IFERROR(G30/F30,""),"")</f>
        <v>6.14583333333333</v>
      </c>
      <c r="I30" s="17" t="n">
        <v>12.9</v>
      </c>
      <c r="J30" s="17" t="n">
        <v>12.9</v>
      </c>
      <c r="K30" s="19" t="s">
        <v>64</v>
      </c>
      <c r="L30" s="20" t="n">
        <v>12.9</v>
      </c>
      <c r="M30" s="18" t="n">
        <f aca="false">IFERROR(L30*(1-Premissas!$B$5)*(1-Premissas!$B$6)-H30-Premissas!$B$7,"")</f>
        <v>4.98661666666667</v>
      </c>
      <c r="N30" s="21" t="n">
        <f aca="false">IFERROR(M30/L30,"")</f>
        <v>0.386559431524548</v>
      </c>
      <c r="O30" s="18" t="n">
        <f aca="false">IFERROR(L30*(1-Premissas!$B$8)-Premissas!$B$9-H30-Premissas!$B$7,"")</f>
        <v>-2.04383333333333</v>
      </c>
      <c r="P30" s="18" t="n">
        <f aca="false">IFERROR(L30*(1-Premissas!$B$10)-Premissas!$B$11-H30-Premissas!$B$7,"")</f>
        <v>-0.825833333333333</v>
      </c>
      <c r="Q30" s="18" t="n">
        <f aca="false">IFERROR(M30*F30,"")</f>
        <v>119.6788</v>
      </c>
      <c r="R30" s="22" t="n">
        <f aca="false">IFERROR(IF(M30&gt;0,ROUNDUP(Premissas!$B$12/M30,0),"sem lucro"),"")</f>
        <v>201</v>
      </c>
      <c r="S30" s="15" t="s">
        <v>120</v>
      </c>
      <c r="T30" s="23" t="s">
        <v>76</v>
      </c>
      <c r="U30" s="15"/>
      <c r="V30" s="18" t="n">
        <f aca="false">IF(AND(T30="S",ISNUMBER(L30),ISNUMBER(F30)),L30*F30*X30,0)</f>
        <v>0</v>
      </c>
      <c r="W30" s="18" t="n">
        <f aca="false">IF(AND(T30="S",ISNUMBER(Q30)),Q30*X30,0)</f>
        <v>0</v>
      </c>
      <c r="X30" s="23" t="n">
        <v>1</v>
      </c>
      <c r="Y30" s="18" t="n">
        <f aca="false">IF(AND(T30="S",ISNUMBER(G30)),G30*X30,0)</f>
        <v>0</v>
      </c>
    </row>
    <row r="31" customFormat="false" ht="15" hidden="false" customHeight="false" outlineLevel="0" collapsed="false">
      <c r="A31" s="14" t="s">
        <v>151</v>
      </c>
      <c r="B31" s="15" t="s">
        <v>152</v>
      </c>
      <c r="C31" s="14" t="s">
        <v>153</v>
      </c>
      <c r="D31" s="14" t="s">
        <v>63</v>
      </c>
      <c r="E31" s="14" t="n">
        <v>2</v>
      </c>
      <c r="F31" s="16" t="n">
        <v>24</v>
      </c>
      <c r="G31" s="17" t="n">
        <v>113.3</v>
      </c>
      <c r="H31" s="18" t="n">
        <f aca="false">IF(ISNUMBER(G31),IFERROR(G31/F31,""),"")</f>
        <v>4.72083333333333</v>
      </c>
      <c r="I31" s="17" t="n">
        <v>12.9</v>
      </c>
      <c r="J31" s="17" t="n">
        <v>12.9</v>
      </c>
      <c r="K31" s="19" t="s">
        <v>64</v>
      </c>
      <c r="L31" s="20" t="n">
        <v>12.9</v>
      </c>
      <c r="M31" s="18" t="n">
        <f aca="false">IFERROR(L31*(1-Premissas!$B$5)*(1-Premissas!$B$6)-H31-Premissas!$B$7,"")</f>
        <v>6.41161666666667</v>
      </c>
      <c r="N31" s="21" t="n">
        <f aca="false">IFERROR(M31/L31,"")</f>
        <v>0.497024547803617</v>
      </c>
      <c r="O31" s="18" t="n">
        <f aca="false">IFERROR(L31*(1-Premissas!$B$8)-Premissas!$B$9-H31-Premissas!$B$7,"")</f>
        <v>-0.618833333333333</v>
      </c>
      <c r="P31" s="18" t="n">
        <f aca="false">IFERROR(L31*(1-Premissas!$B$10)-Premissas!$B$11-H31-Premissas!$B$7,"")</f>
        <v>0.599166666666667</v>
      </c>
      <c r="Q31" s="18" t="n">
        <f aca="false">IFERROR(M31*F31,"")</f>
        <v>153.8788</v>
      </c>
      <c r="R31" s="22" t="n">
        <f aca="false">IFERROR(IF(M31&gt;0,ROUNDUP(Premissas!$B$12/M31,0),"sem lucro"),"")</f>
        <v>156</v>
      </c>
      <c r="S31" s="15" t="s">
        <v>82</v>
      </c>
      <c r="T31" s="23" t="s">
        <v>76</v>
      </c>
      <c r="U31" s="15"/>
      <c r="V31" s="18" t="n">
        <f aca="false">IF(AND(T31="S",ISNUMBER(L31),ISNUMBER(F31)),L31*F31*X31,0)</f>
        <v>0</v>
      </c>
      <c r="W31" s="18" t="n">
        <f aca="false">IF(AND(T31="S",ISNUMBER(Q31)),Q31*X31,0)</f>
        <v>0</v>
      </c>
      <c r="X31" s="23" t="n">
        <v>1</v>
      </c>
      <c r="Y31" s="18" t="n">
        <f aca="false">IF(AND(T31="S",ISNUMBER(G31)),G31*X31,0)</f>
        <v>0</v>
      </c>
    </row>
    <row r="32" customFormat="false" ht="15" hidden="false" customHeight="false" outlineLevel="0" collapsed="false">
      <c r="A32" s="14" t="s">
        <v>154</v>
      </c>
      <c r="B32" s="15" t="s">
        <v>155</v>
      </c>
      <c r="C32" s="14" t="s">
        <v>156</v>
      </c>
      <c r="D32" s="14" t="s">
        <v>157</v>
      </c>
      <c r="E32" s="14" t="n">
        <v>2</v>
      </c>
      <c r="F32" s="16" t="n">
        <v>24</v>
      </c>
      <c r="G32" s="17" t="n">
        <v>110.8</v>
      </c>
      <c r="H32" s="18" t="n">
        <f aca="false">IF(ISNUMBER(G32),IFERROR(G32/F32,""),"")</f>
        <v>4.61666666666667</v>
      </c>
      <c r="I32" s="17" t="n">
        <v>12</v>
      </c>
      <c r="J32" s="17" t="n">
        <v>15</v>
      </c>
      <c r="K32" s="19" t="s">
        <v>64</v>
      </c>
      <c r="L32" s="20" t="n">
        <v>12.9</v>
      </c>
      <c r="M32" s="18" t="n">
        <f aca="false">IFERROR(L32*(1-Premissas!$B$5)*(1-Premissas!$B$6)-H32-Premissas!$B$7,"")</f>
        <v>6.51578333333333</v>
      </c>
      <c r="N32" s="21" t="n">
        <f aca="false">IFERROR(M32/L32,"")</f>
        <v>0.505099483204134</v>
      </c>
      <c r="O32" s="18" t="n">
        <f aca="false">IFERROR(L32*(1-Premissas!$B$8)-Premissas!$B$9-H32-Premissas!$B$7,"")</f>
        <v>-0.514666666666666</v>
      </c>
      <c r="P32" s="18" t="n">
        <f aca="false">IFERROR(L32*(1-Premissas!$B$10)-Premissas!$B$11-H32-Premissas!$B$7,"")</f>
        <v>0.703333333333334</v>
      </c>
      <c r="Q32" s="18" t="n">
        <f aca="false">IFERROR(M32*F32,"")</f>
        <v>156.3788</v>
      </c>
      <c r="R32" s="22" t="n">
        <f aca="false">IFERROR(IF(M32&gt;0,ROUNDUP(Premissas!$B$12/M32,0),"sem lucro"),"")</f>
        <v>154</v>
      </c>
      <c r="S32" s="15" t="s">
        <v>158</v>
      </c>
      <c r="T32" s="23" t="s">
        <v>66</v>
      </c>
      <c r="U32" s="15"/>
      <c r="V32" s="18" t="n">
        <f aca="false">IF(AND(T32="S",ISNUMBER(L32),ISNUMBER(F32)),L32*F32*X32,0)</f>
        <v>309.6</v>
      </c>
      <c r="W32" s="18" t="n">
        <f aca="false">IF(AND(T32="S",ISNUMBER(Q32)),Q32*X32,0)</f>
        <v>156.3788</v>
      </c>
      <c r="X32" s="23" t="n">
        <v>1</v>
      </c>
      <c r="Y32" s="18" t="n">
        <f aca="false">IF(AND(T32="S",ISNUMBER(G32)),G32*X32,0)</f>
        <v>110.8</v>
      </c>
    </row>
    <row r="33" customFormat="false" ht="15" hidden="false" customHeight="false" outlineLevel="0" collapsed="false">
      <c r="A33" s="14" t="s">
        <v>159</v>
      </c>
      <c r="B33" s="15" t="s">
        <v>160</v>
      </c>
      <c r="C33" s="14" t="s">
        <v>156</v>
      </c>
      <c r="D33" s="14" t="s">
        <v>63</v>
      </c>
      <c r="E33" s="14" t="n">
        <v>2</v>
      </c>
      <c r="F33" s="16" t="n">
        <v>24</v>
      </c>
      <c r="G33" s="17" t="n">
        <v>151.7</v>
      </c>
      <c r="H33" s="18" t="n">
        <f aca="false">IF(ISNUMBER(G33),IFERROR(G33/F33,""),"")</f>
        <v>6.32083333333333</v>
      </c>
      <c r="I33" s="17" t="n">
        <v>15.9</v>
      </c>
      <c r="J33" s="17" t="n">
        <v>15.9</v>
      </c>
      <c r="K33" s="19" t="s">
        <v>64</v>
      </c>
      <c r="L33" s="20" t="n">
        <v>15.9</v>
      </c>
      <c r="M33" s="18" t="n">
        <f aca="false">IFERROR(L33*(1-Premissas!$B$5)*(1-Premissas!$B$6)-H33-Premissas!$B$7,"")</f>
        <v>7.63311666666667</v>
      </c>
      <c r="N33" s="21" t="n">
        <f aca="false">IFERROR(M33/L33,"")</f>
        <v>0.480070230607967</v>
      </c>
      <c r="O33" s="18" t="n">
        <f aca="false">IFERROR(L33*(1-Premissas!$B$8)-Premissas!$B$9-H33-Premissas!$B$7,"")</f>
        <v>0.421166666666668</v>
      </c>
      <c r="P33" s="18" t="n">
        <f aca="false">IFERROR(L33*(1-Premissas!$B$10)-Premissas!$B$11-H33-Premissas!$B$7,"")</f>
        <v>1.39916666666667</v>
      </c>
      <c r="Q33" s="18" t="n">
        <f aca="false">IFERROR(M33*F33,"")</f>
        <v>183.1948</v>
      </c>
      <c r="R33" s="22" t="n">
        <f aca="false">IFERROR(IF(M33&gt;0,ROUNDUP(Premissas!$B$12/M33,0),"sem lucro"),"")</f>
        <v>132</v>
      </c>
      <c r="S33" s="15" t="s">
        <v>65</v>
      </c>
      <c r="T33" s="23" t="s">
        <v>66</v>
      </c>
      <c r="U33" s="15"/>
      <c r="V33" s="18" t="n">
        <f aca="false">IF(AND(T33="S",ISNUMBER(L33),ISNUMBER(F33)),L33*F33*X33,0)</f>
        <v>381.6</v>
      </c>
      <c r="W33" s="18" t="n">
        <f aca="false">IF(AND(T33="S",ISNUMBER(Q33)),Q33*X33,0)</f>
        <v>183.1948</v>
      </c>
      <c r="X33" s="23" t="n">
        <v>1</v>
      </c>
      <c r="Y33" s="18" t="n">
        <f aca="false">IF(AND(T33="S",ISNUMBER(G33)),G33*X33,0)</f>
        <v>151.7</v>
      </c>
    </row>
    <row r="34" customFormat="false" ht="15" hidden="false" customHeight="false" outlineLevel="0" collapsed="false">
      <c r="A34" s="14" t="s">
        <v>161</v>
      </c>
      <c r="B34" s="15" t="s">
        <v>162</v>
      </c>
      <c r="C34" s="14" t="s">
        <v>156</v>
      </c>
      <c r="D34" s="14" t="s">
        <v>117</v>
      </c>
      <c r="E34" s="14" t="n">
        <v>3</v>
      </c>
      <c r="F34" s="16" t="n">
        <v>24</v>
      </c>
      <c r="G34" s="17" t="n">
        <v>131.3</v>
      </c>
      <c r="H34" s="18" t="n">
        <f aca="false">IF(ISNUMBER(G34),IFERROR(G34/F34,""),"")</f>
        <v>5.47083333333333</v>
      </c>
      <c r="I34" s="17" t="n">
        <v>12.9</v>
      </c>
      <c r="J34" s="17" t="n">
        <v>12.9</v>
      </c>
      <c r="K34" s="19" t="s">
        <v>64</v>
      </c>
      <c r="L34" s="20" t="n">
        <v>12.9</v>
      </c>
      <c r="M34" s="18" t="n">
        <f aca="false">IFERROR(L34*(1-Premissas!$B$5)*(1-Premissas!$B$6)-H34-Premissas!$B$7,"")</f>
        <v>5.66161666666666</v>
      </c>
      <c r="N34" s="21" t="n">
        <f aca="false">IFERROR(M34/L34,"")</f>
        <v>0.438885012919896</v>
      </c>
      <c r="O34" s="18" t="n">
        <f aca="false">IFERROR(L34*(1-Premissas!$B$8)-Premissas!$B$9-H34-Premissas!$B$7,"")</f>
        <v>-1.36883333333333</v>
      </c>
      <c r="P34" s="18" t="n">
        <f aca="false">IFERROR(L34*(1-Premissas!$B$10)-Premissas!$B$11-H34-Premissas!$B$7,"")</f>
        <v>-0.150833333333334</v>
      </c>
      <c r="Q34" s="18" t="n">
        <f aca="false">IFERROR(M34*F34,"")</f>
        <v>135.8788</v>
      </c>
      <c r="R34" s="22" t="n">
        <f aca="false">IFERROR(IF(M34&gt;0,ROUNDUP(Premissas!$B$12/M34,0),"sem lucro"),"")</f>
        <v>177</v>
      </c>
      <c r="S34" s="15" t="s">
        <v>163</v>
      </c>
      <c r="T34" s="23" t="s">
        <v>66</v>
      </c>
      <c r="U34" s="15" t="s">
        <v>164</v>
      </c>
      <c r="V34" s="18" t="n">
        <f aca="false">IF(AND(T34="S",ISNUMBER(L34),ISNUMBER(F34)),L34*F34*X34,0)</f>
        <v>309.6</v>
      </c>
      <c r="W34" s="18" t="n">
        <f aca="false">IF(AND(T34="S",ISNUMBER(Q34)),Q34*X34,0)</f>
        <v>135.8788</v>
      </c>
      <c r="X34" s="23" t="n">
        <v>1</v>
      </c>
      <c r="Y34" s="18" t="n">
        <f aca="false">IF(AND(T34="S",ISNUMBER(G34)),G34*X34,0)</f>
        <v>131.3</v>
      </c>
    </row>
    <row r="35" customFormat="false" ht="15" hidden="false" customHeight="false" outlineLevel="0" collapsed="false">
      <c r="A35" s="14" t="s">
        <v>165</v>
      </c>
      <c r="B35" s="15" t="s">
        <v>166</v>
      </c>
      <c r="C35" s="14" t="s">
        <v>167</v>
      </c>
      <c r="D35" s="14" t="s">
        <v>168</v>
      </c>
      <c r="E35" s="14" t="n">
        <v>3</v>
      </c>
      <c r="F35" s="16" t="n">
        <v>1</v>
      </c>
      <c r="G35" s="17" t="n">
        <v>6.5</v>
      </c>
      <c r="H35" s="18" t="n">
        <f aca="false">IF(ISNUMBER(G35),IFERROR(G35/F35,""),"")</f>
        <v>6.5</v>
      </c>
      <c r="I35" s="17" t="n">
        <v>15</v>
      </c>
      <c r="J35" s="17" t="n">
        <v>20</v>
      </c>
      <c r="K35" s="19" t="s">
        <v>64</v>
      </c>
      <c r="L35" s="20" t="n">
        <v>16.9</v>
      </c>
      <c r="M35" s="18" t="n">
        <f aca="false">IFERROR(L35*(1-Premissas!$B$5)*(1-Premissas!$B$6)-H35-Premissas!$B$7,"")</f>
        <v>8.39445</v>
      </c>
      <c r="N35" s="21" t="n">
        <f aca="false">IFERROR(M35/L35,"")</f>
        <v>0.496713017751479</v>
      </c>
      <c r="O35" s="18" t="n">
        <f aca="false">IFERROR(L35*(1-Premissas!$B$8)-Premissas!$B$9-H35-Premissas!$B$7,"")</f>
        <v>1.122</v>
      </c>
      <c r="P35" s="18" t="n">
        <f aca="false">IFERROR(L35*(1-Premissas!$B$10)-Premissas!$B$11-H35-Premissas!$B$7,"")</f>
        <v>2.02</v>
      </c>
      <c r="Q35" s="18" t="n">
        <f aca="false">IFERROR(M35*F35,"")</f>
        <v>8.39445</v>
      </c>
      <c r="R35" s="22" t="n">
        <f aca="false">IFERROR(IF(M35&gt;0,ROUNDUP(Premissas!$B$12/M35,0),"sem lucro"),"")</f>
        <v>120</v>
      </c>
      <c r="S35" s="15" t="s">
        <v>65</v>
      </c>
      <c r="T35" s="23" t="s">
        <v>66</v>
      </c>
      <c r="U35" s="15"/>
      <c r="V35" s="18" t="n">
        <f aca="false">IF(AND(T35="S",ISNUMBER(L35),ISNUMBER(F35)),L35*F35*X35,0)</f>
        <v>202.8</v>
      </c>
      <c r="W35" s="18" t="n">
        <f aca="false">IF(AND(T35="S",ISNUMBER(Q35)),Q35*X35,0)</f>
        <v>100.7334</v>
      </c>
      <c r="X35" s="23" t="n">
        <v>12</v>
      </c>
      <c r="Y35" s="18" t="n">
        <f aca="false">IF(AND(T35="S",ISNUMBER(G35)),G35*X35,0)</f>
        <v>78</v>
      </c>
    </row>
    <row r="36" customFormat="false" ht="15" hidden="false" customHeight="false" outlineLevel="0" collapsed="false">
      <c r="A36" s="14" t="s">
        <v>169</v>
      </c>
      <c r="B36" s="15" t="s">
        <v>170</v>
      </c>
      <c r="C36" s="14" t="s">
        <v>171</v>
      </c>
      <c r="D36" s="14" t="s">
        <v>108</v>
      </c>
      <c r="E36" s="14" t="n">
        <v>3</v>
      </c>
      <c r="F36" s="16" t="n">
        <v>1</v>
      </c>
      <c r="G36" s="17" t="n">
        <v>3.2</v>
      </c>
      <c r="H36" s="18" t="n">
        <f aca="false">IF(ISNUMBER(G36),IFERROR(G36/F36,""),"")</f>
        <v>3.2</v>
      </c>
      <c r="I36" s="17" t="n">
        <v>9.9</v>
      </c>
      <c r="J36" s="17" t="n">
        <v>9.9</v>
      </c>
      <c r="K36" s="19" t="s">
        <v>64</v>
      </c>
      <c r="L36" s="20" t="n">
        <v>9.9</v>
      </c>
      <c r="M36" s="18" t="n">
        <f aca="false">IFERROR(L36*(1-Premissas!$B$5)*(1-Premissas!$B$6)-H36-Premissas!$B$7,"")</f>
        <v>5.11095</v>
      </c>
      <c r="N36" s="21" t="n">
        <f aca="false">IFERROR(M36/L36,"")</f>
        <v>0.516257575757576</v>
      </c>
      <c r="O36" s="18" t="n">
        <f aca="false">IFERROR(L36*(1-Premissas!$B$8)-Premissas!$B$9-H36-Premissas!$B$7,"")</f>
        <v>-1.738</v>
      </c>
      <c r="P36" s="18" t="n">
        <f aca="false">IFERROR(L36*(1-Premissas!$B$10)-Premissas!$B$11-H36-Premissas!$B$7,"")</f>
        <v>-0.279999999999999</v>
      </c>
      <c r="Q36" s="18" t="n">
        <f aca="false">IFERROR(M36*F36,"")</f>
        <v>5.11095</v>
      </c>
      <c r="R36" s="22" t="n">
        <f aca="false">IFERROR(IF(M36&gt;0,ROUNDUP(Premissas!$B$12/M36,0),"sem lucro"),"")</f>
        <v>196</v>
      </c>
      <c r="S36" s="15" t="s">
        <v>82</v>
      </c>
      <c r="T36" s="23" t="s">
        <v>76</v>
      </c>
      <c r="U36" s="15"/>
      <c r="V36" s="18" t="n">
        <f aca="false">IF(AND(T36="S",ISNUMBER(L36),ISNUMBER(F36)),L36*F36*X36,0)</f>
        <v>0</v>
      </c>
      <c r="W36" s="18" t="n">
        <f aca="false">IF(AND(T36="S",ISNUMBER(Q36)),Q36*X36,0)</f>
        <v>0</v>
      </c>
      <c r="X36" s="23" t="n">
        <v>12</v>
      </c>
      <c r="Y36" s="18" t="n">
        <f aca="false">IF(AND(T36="S",ISNUMBER(G36)),G36*X36,0)</f>
        <v>0</v>
      </c>
    </row>
    <row r="37" customFormat="false" ht="15" hidden="false" customHeight="false" outlineLevel="0" collapsed="false">
      <c r="A37" s="14" t="s">
        <v>172</v>
      </c>
      <c r="B37" s="15" t="s">
        <v>173</v>
      </c>
      <c r="C37" s="14" t="s">
        <v>174</v>
      </c>
      <c r="D37" s="14" t="s">
        <v>63</v>
      </c>
      <c r="E37" s="14" t="n">
        <v>3</v>
      </c>
      <c r="F37" s="16" t="n">
        <v>15</v>
      </c>
      <c r="G37" s="17" t="n">
        <v>49.5</v>
      </c>
      <c r="H37" s="18" t="n">
        <f aca="false">IF(ISNUMBER(G37),IFERROR(G37/F37,""),"")</f>
        <v>3.3</v>
      </c>
      <c r="I37" s="17" t="n">
        <v>7.54</v>
      </c>
      <c r="J37" s="17" t="n">
        <v>11.99</v>
      </c>
      <c r="K37" s="14" t="s">
        <v>93</v>
      </c>
      <c r="L37" s="20" t="n">
        <v>11.9</v>
      </c>
      <c r="M37" s="18" t="n">
        <f aca="false">IFERROR(L37*(1-Premissas!$B$5)*(1-Premissas!$B$6)-H37-Premissas!$B$7,"")</f>
        <v>6.89195</v>
      </c>
      <c r="N37" s="21" t="n">
        <f aca="false">IFERROR(M37/L37,"")</f>
        <v>0.579155462184874</v>
      </c>
      <c r="O37" s="18" t="n">
        <f aca="false">IFERROR(L37*(1-Premissas!$B$8)-Premissas!$B$9-H37-Premissas!$B$7,"")</f>
        <v>-0.0780000000000003</v>
      </c>
      <c r="P37" s="18" t="n">
        <f aca="false">IFERROR(L37*(1-Premissas!$B$10)-Premissas!$B$11-H37-Premissas!$B$7,"")</f>
        <v>1.22</v>
      </c>
      <c r="Q37" s="18" t="n">
        <f aca="false">IFERROR(M37*F37,"")</f>
        <v>103.37925</v>
      </c>
      <c r="R37" s="22" t="n">
        <f aca="false">IFERROR(IF(M37&gt;0,ROUNDUP(Premissas!$B$12/M37,0),"sem lucro"),"")</f>
        <v>146</v>
      </c>
      <c r="S37" s="15" t="s">
        <v>65</v>
      </c>
      <c r="T37" s="23" t="s">
        <v>66</v>
      </c>
      <c r="U37" s="15" t="s">
        <v>175</v>
      </c>
      <c r="V37" s="18" t="n">
        <f aca="false">IF(AND(T37="S",ISNUMBER(L37),ISNUMBER(F37)),L37*F37*X37,0)</f>
        <v>178.5</v>
      </c>
      <c r="W37" s="18" t="n">
        <f aca="false">IF(AND(T37="S",ISNUMBER(Q37)),Q37*X37,0)</f>
        <v>103.37925</v>
      </c>
      <c r="X37" s="23" t="n">
        <v>1</v>
      </c>
      <c r="Y37" s="18" t="n">
        <f aca="false">IF(AND(T37="S",ISNUMBER(G37)),G37*X37,0)</f>
        <v>49.5</v>
      </c>
    </row>
    <row r="38" customFormat="false" ht="15" hidden="false" customHeight="false" outlineLevel="0" collapsed="false">
      <c r="A38" s="14" t="s">
        <v>176</v>
      </c>
      <c r="B38" s="15" t="s">
        <v>177</v>
      </c>
      <c r="C38" s="14" t="s">
        <v>178</v>
      </c>
      <c r="D38" s="14" t="s">
        <v>157</v>
      </c>
      <c r="E38" s="14" t="n">
        <v>3</v>
      </c>
      <c r="F38" s="16" t="n">
        <v>24</v>
      </c>
      <c r="G38" s="17" t="n">
        <v>150.6</v>
      </c>
      <c r="H38" s="18" t="n">
        <f aca="false">IF(ISNUMBER(G38),IFERROR(G38/F38,""),"")</f>
        <v>6.275</v>
      </c>
      <c r="I38" s="17" t="n">
        <v>12.9</v>
      </c>
      <c r="J38" s="17" t="n">
        <v>12.9</v>
      </c>
      <c r="K38" s="19" t="s">
        <v>64</v>
      </c>
      <c r="L38" s="20" t="n">
        <v>12.9</v>
      </c>
      <c r="M38" s="18" t="n">
        <f aca="false">IFERROR(L38*(1-Premissas!$B$5)*(1-Premissas!$B$6)-H38-Premissas!$B$7,"")</f>
        <v>4.85745</v>
      </c>
      <c r="N38" s="21" t="n">
        <f aca="false">IFERROR(M38/L38,"")</f>
        <v>0.376546511627907</v>
      </c>
      <c r="O38" s="18" t="n">
        <f aca="false">IFERROR(L38*(1-Premissas!$B$8)-Premissas!$B$9-H38-Premissas!$B$7,"")</f>
        <v>-2.173</v>
      </c>
      <c r="P38" s="18" t="n">
        <f aca="false">IFERROR(L38*(1-Premissas!$B$10)-Premissas!$B$11-H38-Premissas!$B$7,"")</f>
        <v>-0.954999999999999</v>
      </c>
      <c r="Q38" s="18" t="n">
        <f aca="false">IFERROR(M38*F38,"")</f>
        <v>116.5788</v>
      </c>
      <c r="R38" s="22" t="n">
        <f aca="false">IFERROR(IF(M38&gt;0,ROUNDUP(Premissas!$B$12/M38,0),"sem lucro"),"")</f>
        <v>206</v>
      </c>
      <c r="S38" s="15" t="s">
        <v>179</v>
      </c>
      <c r="T38" s="23" t="s">
        <v>66</v>
      </c>
      <c r="U38" s="15"/>
      <c r="V38" s="18" t="n">
        <f aca="false">IF(AND(T38="S",ISNUMBER(L38),ISNUMBER(F38)),L38*F38*X38,0)</f>
        <v>309.6</v>
      </c>
      <c r="W38" s="18" t="n">
        <f aca="false">IF(AND(T38="S",ISNUMBER(Q38)),Q38*X38,0)</f>
        <v>116.5788</v>
      </c>
      <c r="X38" s="23" t="n">
        <v>1</v>
      </c>
      <c r="Y38" s="18" t="n">
        <f aca="false">IF(AND(T38="S",ISNUMBER(G38)),G38*X38,0)</f>
        <v>150.6</v>
      </c>
    </row>
    <row r="39" customFormat="false" ht="15" hidden="false" customHeight="false" outlineLevel="0" collapsed="false">
      <c r="A39" s="14" t="s">
        <v>180</v>
      </c>
      <c r="B39" s="15" t="s">
        <v>181</v>
      </c>
      <c r="C39" s="14" t="s">
        <v>178</v>
      </c>
      <c r="D39" s="14" t="s">
        <v>157</v>
      </c>
      <c r="E39" s="14" t="n">
        <v>3</v>
      </c>
      <c r="F39" s="16" t="n">
        <v>24</v>
      </c>
      <c r="G39" s="17" t="n">
        <v>138.2</v>
      </c>
      <c r="H39" s="18" t="n">
        <f aca="false">IF(ISNUMBER(G39),IFERROR(G39/F39,""),"")</f>
        <v>5.75833333333333</v>
      </c>
      <c r="I39" s="17" t="n">
        <v>12.9</v>
      </c>
      <c r="J39" s="17" t="n">
        <v>12.9</v>
      </c>
      <c r="K39" s="19" t="s">
        <v>64</v>
      </c>
      <c r="L39" s="20" t="n">
        <v>12.9</v>
      </c>
      <c r="M39" s="18" t="n">
        <f aca="false">IFERROR(L39*(1-Premissas!$B$5)*(1-Premissas!$B$6)-H39-Premissas!$B$7,"")</f>
        <v>5.37411666666667</v>
      </c>
      <c r="N39" s="21" t="n">
        <f aca="false">IFERROR(M39/L39,"")</f>
        <v>0.41659819121447</v>
      </c>
      <c r="O39" s="18" t="n">
        <f aca="false">IFERROR(L39*(1-Premissas!$B$8)-Premissas!$B$9-H39-Premissas!$B$7,"")</f>
        <v>-1.65633333333333</v>
      </c>
      <c r="P39" s="18" t="n">
        <f aca="false">IFERROR(L39*(1-Premissas!$B$10)-Premissas!$B$11-H39-Premissas!$B$7,"")</f>
        <v>-0.438333333333333</v>
      </c>
      <c r="Q39" s="18" t="n">
        <f aca="false">IFERROR(M39*F39,"")</f>
        <v>128.9788</v>
      </c>
      <c r="R39" s="22" t="n">
        <f aca="false">IFERROR(IF(M39&gt;0,ROUNDUP(Premissas!$B$12/M39,0),"sem lucro"),"")</f>
        <v>187</v>
      </c>
      <c r="S39" s="15" t="s">
        <v>179</v>
      </c>
      <c r="T39" s="23" t="s">
        <v>66</v>
      </c>
      <c r="U39" s="15"/>
      <c r="V39" s="18" t="n">
        <f aca="false">IF(AND(T39="S",ISNUMBER(L39),ISNUMBER(F39)),L39*F39*X39,0)</f>
        <v>309.6</v>
      </c>
      <c r="W39" s="18" t="n">
        <f aca="false">IF(AND(T39="S",ISNUMBER(Q39)),Q39*X39,0)</f>
        <v>128.9788</v>
      </c>
      <c r="X39" s="23" t="n">
        <v>1</v>
      </c>
      <c r="Y39" s="18" t="n">
        <f aca="false">IF(AND(T39="S",ISNUMBER(G39)),G39*X39,0)</f>
        <v>138.2</v>
      </c>
    </row>
    <row r="40" customFormat="false" ht="15" hidden="false" customHeight="false" outlineLevel="0" collapsed="false">
      <c r="A40" s="14" t="s">
        <v>182</v>
      </c>
      <c r="B40" s="15" t="s">
        <v>183</v>
      </c>
      <c r="C40" s="14" t="s">
        <v>178</v>
      </c>
      <c r="D40" s="14" t="s">
        <v>117</v>
      </c>
      <c r="E40" s="14" t="n">
        <v>3</v>
      </c>
      <c r="F40" s="16" t="n">
        <v>24</v>
      </c>
      <c r="G40" s="17" t="n">
        <v>153.6</v>
      </c>
      <c r="H40" s="18" t="n">
        <f aca="false">IF(ISNUMBER(G40),IFERROR(G40/F40,""),"")</f>
        <v>6.4</v>
      </c>
      <c r="I40" s="17" t="n">
        <v>7.52</v>
      </c>
      <c r="J40" s="17" t="n">
        <v>10</v>
      </c>
      <c r="K40" s="14" t="s">
        <v>93</v>
      </c>
      <c r="L40" s="20" t="n">
        <v>11.9</v>
      </c>
      <c r="M40" s="18" t="n">
        <f aca="false">IFERROR(L40*(1-Premissas!$B$5)*(1-Premissas!$B$6)-H40-Premissas!$B$7,"")</f>
        <v>3.79195</v>
      </c>
      <c r="N40" s="21" t="n">
        <f aca="false">IFERROR(M40/L40,"")</f>
        <v>0.318651260504202</v>
      </c>
      <c r="O40" s="18" t="n">
        <f aca="false">IFERROR(L40*(1-Premissas!$B$8)-Premissas!$B$9-H40-Premissas!$B$7,"")</f>
        <v>-3.178</v>
      </c>
      <c r="P40" s="18" t="n">
        <f aca="false">IFERROR(L40*(1-Premissas!$B$10)-Premissas!$B$11-H40-Premissas!$B$7,"")</f>
        <v>-1.88</v>
      </c>
      <c r="Q40" s="18" t="n">
        <f aca="false">IFERROR(M40*F40,"")</f>
        <v>91.0068</v>
      </c>
      <c r="R40" s="22" t="n">
        <f aca="false">IFERROR(IF(M40&gt;0,ROUNDUP(Premissas!$B$12/M40,0),"sem lucro"),"")</f>
        <v>264</v>
      </c>
      <c r="S40" s="15" t="s">
        <v>184</v>
      </c>
      <c r="T40" s="23" t="s">
        <v>76</v>
      </c>
      <c r="U40" s="15" t="s">
        <v>185</v>
      </c>
      <c r="V40" s="18" t="n">
        <f aca="false">IF(AND(T40="S",ISNUMBER(L40),ISNUMBER(F40)),L40*F40*X40,0)</f>
        <v>0</v>
      </c>
      <c r="W40" s="18" t="n">
        <f aca="false">IF(AND(T40="S",ISNUMBER(Q40)),Q40*X40,0)</f>
        <v>0</v>
      </c>
      <c r="X40" s="23" t="n">
        <v>1</v>
      </c>
      <c r="Y40" s="18" t="n">
        <f aca="false">IF(AND(T40="S",ISNUMBER(G40)),G40*X40,0)</f>
        <v>0</v>
      </c>
    </row>
    <row r="41" customFormat="false" ht="15" hidden="false" customHeight="false" outlineLevel="0" collapsed="false">
      <c r="A41" s="14" t="s">
        <v>186</v>
      </c>
      <c r="B41" s="15" t="s">
        <v>187</v>
      </c>
      <c r="C41" s="14" t="s">
        <v>178</v>
      </c>
      <c r="D41" s="14" t="s">
        <v>117</v>
      </c>
      <c r="E41" s="14" t="n">
        <v>3</v>
      </c>
      <c r="F41" s="16" t="n">
        <v>24</v>
      </c>
      <c r="G41" s="17" t="n">
        <v>153.6</v>
      </c>
      <c r="H41" s="18" t="n">
        <f aca="false">IF(ISNUMBER(G41),IFERROR(G41/F41,""),"")</f>
        <v>6.4</v>
      </c>
      <c r="I41" s="17" t="n">
        <v>7.52</v>
      </c>
      <c r="J41" s="17" t="n">
        <v>10</v>
      </c>
      <c r="K41" s="14" t="s">
        <v>93</v>
      </c>
      <c r="L41" s="20" t="n">
        <v>11.9</v>
      </c>
      <c r="M41" s="18" t="n">
        <f aca="false">IFERROR(L41*(1-Premissas!$B$5)*(1-Premissas!$B$6)-H41-Premissas!$B$7,"")</f>
        <v>3.79195</v>
      </c>
      <c r="N41" s="21" t="n">
        <f aca="false">IFERROR(M41/L41,"")</f>
        <v>0.318651260504202</v>
      </c>
      <c r="O41" s="18" t="n">
        <f aca="false">IFERROR(L41*(1-Premissas!$B$8)-Premissas!$B$9-H41-Premissas!$B$7,"")</f>
        <v>-3.178</v>
      </c>
      <c r="P41" s="18" t="n">
        <f aca="false">IFERROR(L41*(1-Premissas!$B$10)-Premissas!$B$11-H41-Premissas!$B$7,"")</f>
        <v>-1.88</v>
      </c>
      <c r="Q41" s="18" t="n">
        <f aca="false">IFERROR(M41*F41,"")</f>
        <v>91.0068</v>
      </c>
      <c r="R41" s="22" t="n">
        <f aca="false">IFERROR(IF(M41&gt;0,ROUNDUP(Premissas!$B$12/M41,0),"sem lucro"),"")</f>
        <v>264</v>
      </c>
      <c r="S41" s="15" t="s">
        <v>184</v>
      </c>
      <c r="T41" s="23" t="s">
        <v>76</v>
      </c>
      <c r="U41" s="15" t="s">
        <v>185</v>
      </c>
      <c r="V41" s="18" t="n">
        <f aca="false">IF(AND(T41="S",ISNUMBER(L41),ISNUMBER(F41)),L41*F41*X41,0)</f>
        <v>0</v>
      </c>
      <c r="W41" s="18" t="n">
        <f aca="false">IF(AND(T41="S",ISNUMBER(Q41)),Q41*X41,0)</f>
        <v>0</v>
      </c>
      <c r="X41" s="23" t="n">
        <v>1</v>
      </c>
      <c r="Y41" s="18" t="n">
        <f aca="false">IF(AND(T41="S",ISNUMBER(G41)),G41*X41,0)</f>
        <v>0</v>
      </c>
    </row>
    <row r="42" customFormat="false" ht="15" hidden="false" customHeight="false" outlineLevel="0" collapsed="false">
      <c r="A42" s="14" t="s">
        <v>188</v>
      </c>
      <c r="B42" s="15" t="s">
        <v>189</v>
      </c>
      <c r="C42" s="14" t="s">
        <v>178</v>
      </c>
      <c r="D42" s="14" t="s">
        <v>117</v>
      </c>
      <c r="E42" s="14" t="n">
        <v>3</v>
      </c>
      <c r="F42" s="16" t="n">
        <v>24</v>
      </c>
      <c r="G42" s="17" t="n">
        <v>144.4</v>
      </c>
      <c r="H42" s="18" t="n">
        <f aca="false">IF(ISNUMBER(G42),IFERROR(G42/F42,""),"")</f>
        <v>6.01666666666667</v>
      </c>
      <c r="I42" s="17" t="n">
        <v>7.52</v>
      </c>
      <c r="J42" s="17" t="n">
        <v>10</v>
      </c>
      <c r="K42" s="14" t="s">
        <v>93</v>
      </c>
      <c r="L42" s="20" t="n">
        <v>11.9</v>
      </c>
      <c r="M42" s="18" t="n">
        <f aca="false">IFERROR(L42*(1-Premissas!$B$5)*(1-Premissas!$B$6)-H42-Premissas!$B$7,"")</f>
        <v>4.17528333333333</v>
      </c>
      <c r="N42" s="21" t="n">
        <f aca="false">IFERROR(M42/L42,"")</f>
        <v>0.350864145658263</v>
      </c>
      <c r="O42" s="18" t="n">
        <f aca="false">IFERROR(L42*(1-Premissas!$B$8)-Premissas!$B$9-H42-Premissas!$B$7,"")</f>
        <v>-2.79466666666667</v>
      </c>
      <c r="P42" s="18" t="n">
        <f aca="false">IFERROR(L42*(1-Premissas!$B$10)-Premissas!$B$11-H42-Premissas!$B$7,"")</f>
        <v>-1.49666666666667</v>
      </c>
      <c r="Q42" s="18" t="n">
        <f aca="false">IFERROR(M42*F42,"")</f>
        <v>100.2068</v>
      </c>
      <c r="R42" s="22" t="n">
        <f aca="false">IFERROR(IF(M42&gt;0,ROUNDUP(Premissas!$B$12/M42,0),"sem lucro"),"")</f>
        <v>240</v>
      </c>
      <c r="S42" s="15" t="s">
        <v>184</v>
      </c>
      <c r="T42" s="23" t="s">
        <v>76</v>
      </c>
      <c r="U42" s="15"/>
      <c r="V42" s="18" t="n">
        <f aca="false">IF(AND(T42="S",ISNUMBER(L42),ISNUMBER(F42)),L42*F42*X42,0)</f>
        <v>0</v>
      </c>
      <c r="W42" s="18" t="n">
        <f aca="false">IF(AND(T42="S",ISNUMBER(Q42)),Q42*X42,0)</f>
        <v>0</v>
      </c>
      <c r="X42" s="23" t="n">
        <v>1</v>
      </c>
      <c r="Y42" s="18" t="n">
        <f aca="false">IF(AND(T42="S",ISNUMBER(G42)),G42*X42,0)</f>
        <v>0</v>
      </c>
    </row>
    <row r="43" customFormat="false" ht="15" hidden="false" customHeight="false" outlineLevel="0" collapsed="false">
      <c r="A43" s="14" t="s">
        <v>190</v>
      </c>
      <c r="B43" s="15" t="s">
        <v>191</v>
      </c>
      <c r="C43" s="14" t="s">
        <v>178</v>
      </c>
      <c r="D43" s="14" t="s">
        <v>117</v>
      </c>
      <c r="E43" s="14" t="n">
        <v>3</v>
      </c>
      <c r="F43" s="16" t="n">
        <v>24</v>
      </c>
      <c r="G43" s="17" t="n">
        <v>138.2</v>
      </c>
      <c r="H43" s="18" t="n">
        <f aca="false">IF(ISNUMBER(G43),IFERROR(G43/F43,""),"")</f>
        <v>5.75833333333333</v>
      </c>
      <c r="I43" s="17" t="n">
        <v>7.52</v>
      </c>
      <c r="J43" s="17" t="n">
        <v>10</v>
      </c>
      <c r="K43" s="14" t="s">
        <v>93</v>
      </c>
      <c r="L43" s="20" t="n">
        <v>11.9</v>
      </c>
      <c r="M43" s="18" t="n">
        <f aca="false">IFERROR(L43*(1-Premissas!$B$5)*(1-Premissas!$B$6)-H43-Premissas!$B$7,"")</f>
        <v>4.43361666666667</v>
      </c>
      <c r="N43" s="21" t="n">
        <f aca="false">IFERROR(M43/L43,"")</f>
        <v>0.372572829131653</v>
      </c>
      <c r="O43" s="18" t="n">
        <f aca="false">IFERROR(L43*(1-Premissas!$B$8)-Premissas!$B$9-H43-Premissas!$B$7,"")</f>
        <v>-2.53633333333333</v>
      </c>
      <c r="P43" s="18" t="n">
        <f aca="false">IFERROR(L43*(1-Premissas!$B$10)-Premissas!$B$11-H43-Premissas!$B$7,"")</f>
        <v>-1.23833333333333</v>
      </c>
      <c r="Q43" s="18" t="n">
        <f aca="false">IFERROR(M43*F43,"")</f>
        <v>106.4068</v>
      </c>
      <c r="R43" s="22" t="n">
        <f aca="false">IFERROR(IF(M43&gt;0,ROUNDUP(Premissas!$B$12/M43,0),"sem lucro"),"")</f>
        <v>226</v>
      </c>
      <c r="S43" s="15" t="s">
        <v>163</v>
      </c>
      <c r="T43" s="23" t="s">
        <v>66</v>
      </c>
      <c r="U43" s="15" t="s">
        <v>192</v>
      </c>
      <c r="V43" s="18" t="n">
        <f aca="false">IF(AND(T43="S",ISNUMBER(L43),ISNUMBER(F43)),L43*F43*X43,0)</f>
        <v>285.6</v>
      </c>
      <c r="W43" s="18" t="n">
        <f aca="false">IF(AND(T43="S",ISNUMBER(Q43)),Q43*X43,0)</f>
        <v>106.4068</v>
      </c>
      <c r="X43" s="23" t="n">
        <v>1</v>
      </c>
      <c r="Y43" s="18" t="n">
        <f aca="false">IF(AND(T43="S",ISNUMBER(G43)),G43*X43,0)</f>
        <v>138.2</v>
      </c>
    </row>
    <row r="44" customFormat="false" ht="15" hidden="false" customHeight="false" outlineLevel="0" collapsed="false">
      <c r="A44" s="14" t="s">
        <v>193</v>
      </c>
      <c r="B44" s="15" t="s">
        <v>194</v>
      </c>
      <c r="C44" s="14" t="s">
        <v>195</v>
      </c>
      <c r="D44" s="14" t="s">
        <v>117</v>
      </c>
      <c r="E44" s="14" t="n">
        <v>3</v>
      </c>
      <c r="F44" s="16" t="n">
        <v>24</v>
      </c>
      <c r="G44" s="17" t="n">
        <v>166.3</v>
      </c>
      <c r="H44" s="18" t="n">
        <f aca="false">IF(ISNUMBER(G44),IFERROR(G44/F44,""),"")</f>
        <v>6.92916666666667</v>
      </c>
      <c r="I44" s="17" t="n">
        <v>12.9</v>
      </c>
      <c r="J44" s="17" t="n">
        <v>12.9</v>
      </c>
      <c r="K44" s="19" t="s">
        <v>64</v>
      </c>
      <c r="L44" s="20" t="n">
        <v>12.9</v>
      </c>
      <c r="M44" s="18" t="n">
        <f aca="false">IFERROR(L44*(1-Premissas!$B$5)*(1-Premissas!$B$6)-H44-Premissas!$B$7,"")</f>
        <v>4.20328333333333</v>
      </c>
      <c r="N44" s="21" t="n">
        <f aca="false">IFERROR(M44/L44,"")</f>
        <v>0.325835917312661</v>
      </c>
      <c r="O44" s="18" t="n">
        <f aca="false">IFERROR(L44*(1-Premissas!$B$8)-Premissas!$B$9-H44-Premissas!$B$7,"")</f>
        <v>-2.82716666666667</v>
      </c>
      <c r="P44" s="18" t="n">
        <f aca="false">IFERROR(L44*(1-Premissas!$B$10)-Premissas!$B$11-H44-Premissas!$B$7,"")</f>
        <v>-1.60916666666667</v>
      </c>
      <c r="Q44" s="18" t="n">
        <f aca="false">IFERROR(M44*F44,"")</f>
        <v>100.8788</v>
      </c>
      <c r="R44" s="22" t="n">
        <f aca="false">IFERROR(IF(M44&gt;0,ROUNDUP(Premissas!$B$12/M44,0),"sem lucro"),"")</f>
        <v>238</v>
      </c>
      <c r="S44" s="15" t="s">
        <v>120</v>
      </c>
      <c r="T44" s="23" t="s">
        <v>76</v>
      </c>
      <c r="U44" s="15"/>
      <c r="V44" s="18" t="n">
        <f aca="false">IF(AND(T44="S",ISNUMBER(L44),ISNUMBER(F44)),L44*F44*X44,0)</f>
        <v>0</v>
      </c>
      <c r="W44" s="18" t="n">
        <f aca="false">IF(AND(T44="S",ISNUMBER(Q44)),Q44*X44,0)</f>
        <v>0</v>
      </c>
      <c r="X44" s="23" t="n">
        <v>1</v>
      </c>
      <c r="Y44" s="18" t="n">
        <f aca="false">IF(AND(T44="S",ISNUMBER(G44)),G44*X44,0)</f>
        <v>0</v>
      </c>
    </row>
    <row r="45" customFormat="false" ht="15" hidden="false" customHeight="false" outlineLevel="0" collapsed="false">
      <c r="A45" s="14" t="s">
        <v>196</v>
      </c>
      <c r="B45" s="15" t="s">
        <v>197</v>
      </c>
      <c r="C45" s="14" t="s">
        <v>198</v>
      </c>
      <c r="D45" s="14" t="s">
        <v>141</v>
      </c>
      <c r="E45" s="14" t="n">
        <v>3</v>
      </c>
      <c r="F45" s="16" t="n">
        <v>1</v>
      </c>
      <c r="G45" s="17" t="n">
        <v>5.7</v>
      </c>
      <c r="H45" s="18" t="n">
        <f aca="false">IF(ISNUMBER(G45),IFERROR(G45/F45,""),"")</f>
        <v>5.7</v>
      </c>
      <c r="I45" s="17" t="n">
        <v>14.9</v>
      </c>
      <c r="J45" s="17" t="n">
        <v>14.9</v>
      </c>
      <c r="K45" s="19" t="s">
        <v>64</v>
      </c>
      <c r="L45" s="20" t="n">
        <v>14.9</v>
      </c>
      <c r="M45" s="18" t="n">
        <f aca="false">IFERROR(L45*(1-Premissas!$B$5)*(1-Premissas!$B$6)-H45-Premissas!$B$7,"")</f>
        <v>7.31345</v>
      </c>
      <c r="N45" s="21" t="n">
        <f aca="false">IFERROR(M45/L45,"")</f>
        <v>0.490835570469799</v>
      </c>
      <c r="O45" s="18" t="n">
        <f aca="false">IFERROR(L45*(1-Premissas!$B$8)-Premissas!$B$9-H45-Premissas!$B$7,"")</f>
        <v>0.162</v>
      </c>
      <c r="P45" s="18" t="n">
        <f aca="false">IFERROR(L45*(1-Premissas!$B$10)-Premissas!$B$11-H45-Premissas!$B$7,"")</f>
        <v>1.22</v>
      </c>
      <c r="Q45" s="18" t="n">
        <f aca="false">IFERROR(M45*F45,"")</f>
        <v>7.31345</v>
      </c>
      <c r="R45" s="22" t="n">
        <f aca="false">IFERROR(IF(M45&gt;0,ROUNDUP(Premissas!$B$12/M45,0),"sem lucro"),"")</f>
        <v>137</v>
      </c>
      <c r="S45" s="15" t="s">
        <v>65</v>
      </c>
      <c r="T45" s="23" t="s">
        <v>66</v>
      </c>
      <c r="U45" s="15"/>
      <c r="V45" s="18" t="n">
        <f aca="false">IF(AND(T45="S",ISNUMBER(L45),ISNUMBER(F45)),L45*F45*X45,0)</f>
        <v>178.8</v>
      </c>
      <c r="W45" s="18" t="n">
        <f aca="false">IF(AND(T45="S",ISNUMBER(Q45)),Q45*X45,0)</f>
        <v>87.7614</v>
      </c>
      <c r="X45" s="23" t="n">
        <v>12</v>
      </c>
      <c r="Y45" s="18" t="n">
        <f aca="false">IF(AND(T45="S",ISNUMBER(G45)),G45*X45,0)</f>
        <v>68.4</v>
      </c>
    </row>
    <row r="46" customFormat="false" ht="26.85" hidden="false" customHeight="false" outlineLevel="0" collapsed="false">
      <c r="A46" s="14" t="s">
        <v>199</v>
      </c>
      <c r="B46" s="15" t="s">
        <v>200</v>
      </c>
      <c r="C46" s="14" t="s">
        <v>201</v>
      </c>
      <c r="D46" s="14" t="s">
        <v>141</v>
      </c>
      <c r="E46" s="14" t="n">
        <v>4</v>
      </c>
      <c r="F46" s="16" t="n">
        <v>1</v>
      </c>
      <c r="G46" s="17" t="n">
        <v>6.2</v>
      </c>
      <c r="H46" s="18" t="n">
        <f aca="false">IF(ISNUMBER(G46),IFERROR(G46/F46,""),"")</f>
        <v>6.2</v>
      </c>
      <c r="I46" s="17" t="n">
        <v>14.9</v>
      </c>
      <c r="J46" s="17" t="n">
        <v>19.9</v>
      </c>
      <c r="K46" s="19" t="s">
        <v>64</v>
      </c>
      <c r="L46" s="20" t="n">
        <v>16.9</v>
      </c>
      <c r="M46" s="18" t="n">
        <f aca="false">IFERROR(L46*(1-Premissas!$B$5)*(1-Premissas!$B$6)-H46-Premissas!$B$7,"")</f>
        <v>8.69445</v>
      </c>
      <c r="N46" s="21" t="n">
        <f aca="false">IFERROR(M46/L46,"")</f>
        <v>0.51446449704142</v>
      </c>
      <c r="O46" s="18" t="n">
        <f aca="false">IFERROR(L46*(1-Premissas!$B$8)-Premissas!$B$9-H46-Premissas!$B$7,"")</f>
        <v>1.422</v>
      </c>
      <c r="P46" s="18" t="n">
        <f aca="false">IFERROR(L46*(1-Premissas!$B$10)-Premissas!$B$11-H46-Premissas!$B$7,"")</f>
        <v>2.32</v>
      </c>
      <c r="Q46" s="18" t="n">
        <f aca="false">IFERROR(M46*F46,"")</f>
        <v>8.69445</v>
      </c>
      <c r="R46" s="22" t="n">
        <f aca="false">IFERROR(IF(M46&gt;0,ROUNDUP(Premissas!$B$12/M46,0),"sem lucro"),"")</f>
        <v>116</v>
      </c>
      <c r="S46" s="15" t="s">
        <v>65</v>
      </c>
      <c r="T46" s="23" t="s">
        <v>66</v>
      </c>
      <c r="U46" s="15" t="s">
        <v>202</v>
      </c>
      <c r="V46" s="18" t="n">
        <f aca="false">IF(AND(T46="S",ISNUMBER(L46),ISNUMBER(F46)),L46*F46*X46,0)</f>
        <v>202.8</v>
      </c>
      <c r="W46" s="18" t="n">
        <f aca="false">IF(AND(T46="S",ISNUMBER(Q46)),Q46*X46,0)</f>
        <v>104.3334</v>
      </c>
      <c r="X46" s="23" t="n">
        <v>12</v>
      </c>
      <c r="Y46" s="18" t="n">
        <f aca="false">IF(AND(T46="S",ISNUMBER(G46)),G46*X46,0)</f>
        <v>74.4</v>
      </c>
    </row>
    <row r="47" customFormat="false" ht="15" hidden="false" customHeight="false" outlineLevel="0" collapsed="false">
      <c r="A47" s="14" t="s">
        <v>203</v>
      </c>
      <c r="B47" s="15" t="s">
        <v>204</v>
      </c>
      <c r="C47" s="14" t="s">
        <v>201</v>
      </c>
      <c r="D47" s="14" t="s">
        <v>141</v>
      </c>
      <c r="E47" s="14" t="n">
        <v>4</v>
      </c>
      <c r="F47" s="16" t="n">
        <v>1</v>
      </c>
      <c r="G47" s="17" t="n">
        <v>6.5</v>
      </c>
      <c r="H47" s="18" t="n">
        <f aca="false">IF(ISNUMBER(G47),IFERROR(G47/F47,""),"")</f>
        <v>6.5</v>
      </c>
      <c r="I47" s="17" t="n">
        <v>14.9</v>
      </c>
      <c r="J47" s="17" t="n">
        <v>19.9</v>
      </c>
      <c r="K47" s="19" t="s">
        <v>64</v>
      </c>
      <c r="L47" s="20" t="n">
        <v>16.9</v>
      </c>
      <c r="M47" s="18" t="n">
        <f aca="false">IFERROR(L47*(1-Premissas!$B$5)*(1-Premissas!$B$6)-H47-Premissas!$B$7,"")</f>
        <v>8.39445</v>
      </c>
      <c r="N47" s="21" t="n">
        <f aca="false">IFERROR(M47/L47,"")</f>
        <v>0.496713017751479</v>
      </c>
      <c r="O47" s="18" t="n">
        <f aca="false">IFERROR(L47*(1-Premissas!$B$8)-Premissas!$B$9-H47-Premissas!$B$7,"")</f>
        <v>1.122</v>
      </c>
      <c r="P47" s="18" t="n">
        <f aca="false">IFERROR(L47*(1-Premissas!$B$10)-Premissas!$B$11-H47-Premissas!$B$7,"")</f>
        <v>2.02</v>
      </c>
      <c r="Q47" s="18" t="n">
        <f aca="false">IFERROR(M47*F47,"")</f>
        <v>8.39445</v>
      </c>
      <c r="R47" s="22" t="n">
        <f aca="false">IFERROR(IF(M47&gt;0,ROUNDUP(Premissas!$B$12/M47,0),"sem lucro"),"")</f>
        <v>120</v>
      </c>
      <c r="S47" s="15" t="s">
        <v>82</v>
      </c>
      <c r="T47" s="23" t="s">
        <v>76</v>
      </c>
      <c r="U47" s="15"/>
      <c r="V47" s="18" t="n">
        <f aca="false">IF(AND(T47="S",ISNUMBER(L47),ISNUMBER(F47)),L47*F47*X47,0)</f>
        <v>0</v>
      </c>
      <c r="W47" s="18" t="n">
        <f aca="false">IF(AND(T47="S",ISNUMBER(Q47)),Q47*X47,0)</f>
        <v>0</v>
      </c>
      <c r="X47" s="23" t="n">
        <v>12</v>
      </c>
      <c r="Y47" s="18" t="n">
        <f aca="false">IF(AND(T47="S",ISNUMBER(G47)),G47*X47,0)</f>
        <v>0</v>
      </c>
    </row>
    <row r="48" customFormat="false" ht="15" hidden="false" customHeight="false" outlineLevel="0" collapsed="false">
      <c r="A48" s="14" t="s">
        <v>205</v>
      </c>
      <c r="B48" s="15" t="s">
        <v>206</v>
      </c>
      <c r="C48" s="14" t="s">
        <v>207</v>
      </c>
      <c r="D48" s="14" t="s">
        <v>117</v>
      </c>
      <c r="E48" s="14" t="n">
        <v>4</v>
      </c>
      <c r="F48" s="16" t="n">
        <v>48</v>
      </c>
      <c r="G48" s="17" t="n">
        <v>252.8</v>
      </c>
      <c r="H48" s="18" t="n">
        <f aca="false">IF(ISNUMBER(G48),IFERROR(G48/F48,""),"")</f>
        <v>5.26666666666667</v>
      </c>
      <c r="I48" s="17" t="n">
        <v>10</v>
      </c>
      <c r="J48" s="17" t="n">
        <v>24.99</v>
      </c>
      <c r="K48" s="19" t="s">
        <v>64</v>
      </c>
      <c r="L48" s="20" t="n">
        <v>14.9</v>
      </c>
      <c r="M48" s="18" t="n">
        <f aca="false">IFERROR(L48*(1-Premissas!$B$5)*(1-Premissas!$B$6)-H48-Premissas!$B$7,"")</f>
        <v>7.74678333333333</v>
      </c>
      <c r="N48" s="21" t="n">
        <f aca="false">IFERROR(M48/L48,"")</f>
        <v>0.519918344519016</v>
      </c>
      <c r="O48" s="18" t="n">
        <f aca="false">IFERROR(L48*(1-Premissas!$B$8)-Premissas!$B$9-H48-Premissas!$B$7,"")</f>
        <v>0.595333333333334</v>
      </c>
      <c r="P48" s="18" t="n">
        <f aca="false">IFERROR(L48*(1-Premissas!$B$10)-Premissas!$B$11-H48-Premissas!$B$7,"")</f>
        <v>1.65333333333334</v>
      </c>
      <c r="Q48" s="18" t="n">
        <f aca="false">IFERROR(M48*F48,"")</f>
        <v>371.8456</v>
      </c>
      <c r="R48" s="22" t="n">
        <f aca="false">IFERROR(IF(M48&gt;0,ROUNDUP(Premissas!$B$12/M48,0),"sem lucro"),"")</f>
        <v>130</v>
      </c>
      <c r="S48" s="15" t="s">
        <v>82</v>
      </c>
      <c r="T48" s="23" t="s">
        <v>76</v>
      </c>
      <c r="U48" s="15" t="s">
        <v>208</v>
      </c>
      <c r="V48" s="18" t="n">
        <f aca="false">IF(AND(T48="S",ISNUMBER(L48),ISNUMBER(F48)),L48*F48*X48,0)</f>
        <v>0</v>
      </c>
      <c r="W48" s="18" t="n">
        <f aca="false">IF(AND(T48="S",ISNUMBER(Q48)),Q48*X48,0)</f>
        <v>0</v>
      </c>
      <c r="X48" s="23" t="n">
        <v>1</v>
      </c>
      <c r="Y48" s="18" t="n">
        <f aca="false">IF(AND(T48="S",ISNUMBER(G48)),G48*X48,0)</f>
        <v>0</v>
      </c>
    </row>
    <row r="49" customFormat="false" ht="15" hidden="false" customHeight="false" outlineLevel="0" collapsed="false">
      <c r="A49" s="14" t="s">
        <v>209</v>
      </c>
      <c r="B49" s="15" t="s">
        <v>210</v>
      </c>
      <c r="C49" s="14" t="s">
        <v>207</v>
      </c>
      <c r="D49" s="14" t="s">
        <v>117</v>
      </c>
      <c r="E49" s="14" t="n">
        <v>4</v>
      </c>
      <c r="F49" s="16" t="n">
        <v>24</v>
      </c>
      <c r="G49" s="17" t="n">
        <v>158.8</v>
      </c>
      <c r="H49" s="18" t="n">
        <f aca="false">IF(ISNUMBER(G49),IFERROR(G49/F49,""),"")</f>
        <v>6.61666666666667</v>
      </c>
      <c r="I49" s="17" t="n">
        <v>10</v>
      </c>
      <c r="J49" s="17" t="n">
        <v>24.99</v>
      </c>
      <c r="K49" s="19" t="s">
        <v>64</v>
      </c>
      <c r="L49" s="20" t="n">
        <v>14.9</v>
      </c>
      <c r="M49" s="18" t="n">
        <f aca="false">IFERROR(L49*(1-Premissas!$B$5)*(1-Premissas!$B$6)-H49-Premissas!$B$7,"")</f>
        <v>6.39678333333333</v>
      </c>
      <c r="N49" s="21" t="n">
        <f aca="false">IFERROR(M49/L49,"")</f>
        <v>0.429314317673378</v>
      </c>
      <c r="O49" s="18" t="n">
        <f aca="false">IFERROR(L49*(1-Premissas!$B$8)-Premissas!$B$9-H49-Premissas!$B$7,"")</f>
        <v>-0.754666666666667</v>
      </c>
      <c r="P49" s="18" t="n">
        <f aca="false">IFERROR(L49*(1-Premissas!$B$10)-Premissas!$B$11-H49-Premissas!$B$7,"")</f>
        <v>0.303333333333335</v>
      </c>
      <c r="Q49" s="18" t="n">
        <f aca="false">IFERROR(M49*F49,"")</f>
        <v>153.5228</v>
      </c>
      <c r="R49" s="22" t="n">
        <f aca="false">IFERROR(IF(M49&gt;0,ROUNDUP(Premissas!$B$12/M49,0),"sem lucro"),"")</f>
        <v>157</v>
      </c>
      <c r="S49" s="15" t="s">
        <v>82</v>
      </c>
      <c r="T49" s="23" t="s">
        <v>76</v>
      </c>
      <c r="U49" s="15"/>
      <c r="V49" s="18" t="n">
        <f aca="false">IF(AND(T49="S",ISNUMBER(L49),ISNUMBER(F49)),L49*F49*X49,0)</f>
        <v>0</v>
      </c>
      <c r="W49" s="18" t="n">
        <f aca="false">IF(AND(T49="S",ISNUMBER(Q49)),Q49*X49,0)</f>
        <v>0</v>
      </c>
      <c r="X49" s="23" t="n">
        <v>1</v>
      </c>
      <c r="Y49" s="18" t="n">
        <f aca="false">IF(AND(T49="S",ISNUMBER(G49)),G49*X49,0)</f>
        <v>0</v>
      </c>
    </row>
    <row r="50" customFormat="false" ht="15" hidden="false" customHeight="false" outlineLevel="0" collapsed="false">
      <c r="A50" s="14" t="s">
        <v>211</v>
      </c>
      <c r="B50" s="15" t="s">
        <v>212</v>
      </c>
      <c r="C50" s="14" t="s">
        <v>207</v>
      </c>
      <c r="D50" s="14" t="s">
        <v>117</v>
      </c>
      <c r="E50" s="14" t="n">
        <v>4</v>
      </c>
      <c r="F50" s="16" t="n">
        <v>48</v>
      </c>
      <c r="G50" s="17" t="n">
        <v>271.6</v>
      </c>
      <c r="H50" s="18" t="n">
        <f aca="false">IF(ISNUMBER(G50),IFERROR(G50/F50,""),"")</f>
        <v>5.65833333333333</v>
      </c>
      <c r="I50" s="17" t="n">
        <v>10</v>
      </c>
      <c r="J50" s="17" t="n">
        <v>24.99</v>
      </c>
      <c r="K50" s="14" t="s">
        <v>93</v>
      </c>
      <c r="L50" s="20" t="n">
        <v>14.9</v>
      </c>
      <c r="M50" s="18" t="n">
        <f aca="false">IFERROR(L50*(1-Premissas!$B$5)*(1-Premissas!$B$6)-H50-Premissas!$B$7,"")</f>
        <v>7.35511666666666</v>
      </c>
      <c r="N50" s="21" t="n">
        <f aca="false">IFERROR(M50/L50,"")</f>
        <v>0.493631991051454</v>
      </c>
      <c r="O50" s="18" t="n">
        <f aca="false">IFERROR(L50*(1-Premissas!$B$8)-Premissas!$B$9-H50-Premissas!$B$7,"")</f>
        <v>0.203666666666666</v>
      </c>
      <c r="P50" s="18" t="n">
        <f aca="false">IFERROR(L50*(1-Premissas!$B$10)-Premissas!$B$11-H50-Premissas!$B$7,"")</f>
        <v>1.26166666666667</v>
      </c>
      <c r="Q50" s="18" t="n">
        <f aca="false">IFERROR(M50*F50,"")</f>
        <v>353.0456</v>
      </c>
      <c r="R50" s="22" t="n">
        <f aca="false">IFERROR(IF(M50&gt;0,ROUNDUP(Premissas!$B$12/M50,0),"sem lucro"),"")</f>
        <v>136</v>
      </c>
      <c r="S50" s="15" t="s">
        <v>213</v>
      </c>
      <c r="T50" s="23" t="s">
        <v>66</v>
      </c>
      <c r="U50" s="15" t="s">
        <v>214</v>
      </c>
      <c r="V50" s="18" t="n">
        <f aca="false">IF(AND(T50="S",ISNUMBER(L50),ISNUMBER(F50)),L50*F50*X50,0)</f>
        <v>715.2</v>
      </c>
      <c r="W50" s="18" t="n">
        <f aca="false">IF(AND(T50="S",ISNUMBER(Q50)),Q50*X50,0)</f>
        <v>353.0456</v>
      </c>
      <c r="X50" s="23" t="n">
        <v>1</v>
      </c>
      <c r="Y50" s="18" t="n">
        <f aca="false">IF(AND(T50="S",ISNUMBER(G50)),G50*X50,0)</f>
        <v>271.6</v>
      </c>
    </row>
    <row r="51" customFormat="false" ht="15" hidden="false" customHeight="false" outlineLevel="0" collapsed="false">
      <c r="A51" s="14" t="s">
        <v>215</v>
      </c>
      <c r="B51" s="15" t="s">
        <v>216</v>
      </c>
      <c r="C51" s="14" t="s">
        <v>217</v>
      </c>
      <c r="D51" s="14" t="s">
        <v>63</v>
      </c>
      <c r="E51" s="14" t="n">
        <v>4</v>
      </c>
      <c r="F51" s="16" t="n">
        <v>18</v>
      </c>
      <c r="G51" s="17" t="n">
        <v>89.6</v>
      </c>
      <c r="H51" s="18" t="n">
        <f aca="false">IF(ISNUMBER(G51),IFERROR(G51/F51,""),"")</f>
        <v>4.97777777777778</v>
      </c>
      <c r="I51" s="17" t="n">
        <v>12.9</v>
      </c>
      <c r="J51" s="17" t="n">
        <v>14.9</v>
      </c>
      <c r="K51" s="19" t="s">
        <v>64</v>
      </c>
      <c r="L51" s="20" t="n">
        <v>13.9</v>
      </c>
      <c r="M51" s="18" t="n">
        <f aca="false">IFERROR(L51*(1-Premissas!$B$5)*(1-Premissas!$B$6)-H51-Premissas!$B$7,"")</f>
        <v>7.09517222222222</v>
      </c>
      <c r="N51" s="21" t="n">
        <f aca="false">IFERROR(M51/L51,"")</f>
        <v>0.510444044764189</v>
      </c>
      <c r="O51" s="18" t="n">
        <f aca="false">IFERROR(L51*(1-Premissas!$B$8)-Premissas!$B$9-H51-Premissas!$B$7,"")</f>
        <v>0.00422222222222324</v>
      </c>
      <c r="P51" s="18" t="n">
        <f aca="false">IFERROR(L51*(1-Premissas!$B$10)-Premissas!$B$11-H51-Premissas!$B$7,"")</f>
        <v>1.14222222222222</v>
      </c>
      <c r="Q51" s="18" t="n">
        <f aca="false">IFERROR(M51*F51,"")</f>
        <v>127.7131</v>
      </c>
      <c r="R51" s="22" t="n">
        <f aca="false">IFERROR(IF(M51&gt;0,ROUNDUP(Premissas!$B$12/M51,0),"sem lucro"),"")</f>
        <v>141</v>
      </c>
      <c r="S51" s="15" t="s">
        <v>82</v>
      </c>
      <c r="T51" s="23" t="s">
        <v>76</v>
      </c>
      <c r="U51" s="15" t="s">
        <v>218</v>
      </c>
      <c r="V51" s="18" t="n">
        <f aca="false">IF(AND(T51="S",ISNUMBER(L51),ISNUMBER(F51)),L51*F51*X51,0)</f>
        <v>0</v>
      </c>
      <c r="W51" s="18" t="n">
        <f aca="false">IF(AND(T51="S",ISNUMBER(Q51)),Q51*X51,0)</f>
        <v>0</v>
      </c>
      <c r="X51" s="23" t="n">
        <v>1</v>
      </c>
      <c r="Y51" s="18" t="n">
        <f aca="false">IF(AND(T51="S",ISNUMBER(G51)),G51*X51,0)</f>
        <v>0</v>
      </c>
    </row>
    <row r="52" customFormat="false" ht="15" hidden="false" customHeight="false" outlineLevel="0" collapsed="false">
      <c r="A52" s="14" t="s">
        <v>219</v>
      </c>
      <c r="B52" s="15" t="s">
        <v>220</v>
      </c>
      <c r="C52" s="14" t="s">
        <v>217</v>
      </c>
      <c r="D52" s="14" t="s">
        <v>63</v>
      </c>
      <c r="E52" s="14" t="n">
        <v>4</v>
      </c>
      <c r="F52" s="16" t="n">
        <v>18</v>
      </c>
      <c r="G52" s="17" t="n">
        <v>89.6</v>
      </c>
      <c r="H52" s="18" t="n">
        <f aca="false">IF(ISNUMBER(G52),IFERROR(G52/F52,""),"")</f>
        <v>4.97777777777778</v>
      </c>
      <c r="I52" s="17" t="n">
        <v>12.9</v>
      </c>
      <c r="J52" s="17" t="n">
        <v>14.9</v>
      </c>
      <c r="K52" s="19" t="s">
        <v>64</v>
      </c>
      <c r="L52" s="20" t="n">
        <v>13.9</v>
      </c>
      <c r="M52" s="18" t="n">
        <f aca="false">IFERROR(L52*(1-Premissas!$B$5)*(1-Premissas!$B$6)-H52-Premissas!$B$7,"")</f>
        <v>7.09517222222222</v>
      </c>
      <c r="N52" s="21" t="n">
        <f aca="false">IFERROR(M52/L52,"")</f>
        <v>0.510444044764189</v>
      </c>
      <c r="O52" s="18" t="n">
        <f aca="false">IFERROR(L52*(1-Premissas!$B$8)-Premissas!$B$9-H52-Premissas!$B$7,"")</f>
        <v>0.00422222222222324</v>
      </c>
      <c r="P52" s="18" t="n">
        <f aca="false">IFERROR(L52*(1-Premissas!$B$10)-Premissas!$B$11-H52-Premissas!$B$7,"")</f>
        <v>1.14222222222222</v>
      </c>
      <c r="Q52" s="18" t="n">
        <f aca="false">IFERROR(M52*F52,"")</f>
        <v>127.7131</v>
      </c>
      <c r="R52" s="22" t="n">
        <f aca="false">IFERROR(IF(M52&gt;0,ROUNDUP(Premissas!$B$12/M52,0),"sem lucro"),"")</f>
        <v>141</v>
      </c>
      <c r="S52" s="15" t="s">
        <v>82</v>
      </c>
      <c r="T52" s="23" t="s">
        <v>76</v>
      </c>
      <c r="U52" s="15" t="s">
        <v>218</v>
      </c>
      <c r="V52" s="18" t="n">
        <f aca="false">IF(AND(T52="S",ISNUMBER(L52),ISNUMBER(F52)),L52*F52*X52,0)</f>
        <v>0</v>
      </c>
      <c r="W52" s="18" t="n">
        <f aca="false">IF(AND(T52="S",ISNUMBER(Q52)),Q52*X52,0)</f>
        <v>0</v>
      </c>
      <c r="X52" s="23" t="n">
        <v>1</v>
      </c>
      <c r="Y52" s="18" t="n">
        <f aca="false">IF(AND(T52="S",ISNUMBER(G52)),G52*X52,0)</f>
        <v>0</v>
      </c>
    </row>
    <row r="53" customFormat="false" ht="39.55" hidden="false" customHeight="false" outlineLevel="0" collapsed="false">
      <c r="A53" s="14" t="s">
        <v>221</v>
      </c>
      <c r="B53" s="15" t="s">
        <v>222</v>
      </c>
      <c r="C53" s="14" t="s">
        <v>223</v>
      </c>
      <c r="D53" s="14" t="s">
        <v>224</v>
      </c>
      <c r="E53" s="14" t="n">
        <v>4</v>
      </c>
      <c r="F53" s="16" t="n">
        <v>1</v>
      </c>
      <c r="G53" s="17" t="n">
        <v>6.8</v>
      </c>
      <c r="H53" s="18" t="n">
        <f aca="false">IF(ISNUMBER(G53),IFERROR(G53/F53,""),"")</f>
        <v>6.8</v>
      </c>
      <c r="I53" s="17" t="n">
        <v>19.9</v>
      </c>
      <c r="J53" s="17" t="n">
        <v>29.9</v>
      </c>
      <c r="K53" s="19" t="s">
        <v>64</v>
      </c>
      <c r="L53" s="20" t="n">
        <v>24.9</v>
      </c>
      <c r="M53" s="18" t="n">
        <f aca="false">IFERROR(L53*(1-Premissas!$B$5)*(1-Premissas!$B$6)-H53-Premissas!$B$7,"")</f>
        <v>15.61845</v>
      </c>
      <c r="N53" s="21" t="n">
        <f aca="false">IFERROR(M53/L53,"")</f>
        <v>0.627246987951807</v>
      </c>
      <c r="O53" s="18" t="n">
        <f aca="false">IFERROR(L53*(1-Premissas!$B$8)-Premissas!$B$9-H53-Premissas!$B$7,"")</f>
        <v>7.862</v>
      </c>
      <c r="P53" s="18" t="n">
        <f aca="false">IFERROR(L53*(1-Premissas!$B$10)-Premissas!$B$11-H53-Premissas!$B$7,"")</f>
        <v>8.12</v>
      </c>
      <c r="Q53" s="18" t="n">
        <f aca="false">IFERROR(M53*F53,"")</f>
        <v>15.61845</v>
      </c>
      <c r="R53" s="22" t="n">
        <f aca="false">IFERROR(IF(M53&gt;0,ROUNDUP(Premissas!$B$12/M53,0),"sem lucro"),"")</f>
        <v>65</v>
      </c>
      <c r="S53" s="15" t="s">
        <v>65</v>
      </c>
      <c r="T53" s="23" t="s">
        <v>66</v>
      </c>
      <c r="U53" s="15" t="s">
        <v>225</v>
      </c>
      <c r="V53" s="18" t="n">
        <f aca="false">IF(AND(T53="S",ISNUMBER(L53),ISNUMBER(F53)),L53*F53*X53,0)</f>
        <v>298.8</v>
      </c>
      <c r="W53" s="18" t="n">
        <f aca="false">IF(AND(T53="S",ISNUMBER(Q53)),Q53*X53,0)</f>
        <v>187.4214</v>
      </c>
      <c r="X53" s="23" t="n">
        <v>12</v>
      </c>
      <c r="Y53" s="18" t="n">
        <f aca="false">IF(AND(T53="S",ISNUMBER(G53)),G53*X53,0)</f>
        <v>81.6</v>
      </c>
    </row>
    <row r="54" customFormat="false" ht="15" hidden="false" customHeight="false" outlineLevel="0" collapsed="false">
      <c r="A54" s="14" t="s">
        <v>226</v>
      </c>
      <c r="B54" s="15" t="s">
        <v>227</v>
      </c>
      <c r="C54" s="14" t="s">
        <v>223</v>
      </c>
      <c r="D54" s="14" t="s">
        <v>224</v>
      </c>
      <c r="E54" s="14" t="n">
        <v>4</v>
      </c>
      <c r="F54" s="16" t="n">
        <v>1</v>
      </c>
      <c r="G54" s="17" t="n">
        <v>6.8</v>
      </c>
      <c r="H54" s="18" t="n">
        <f aca="false">IF(ISNUMBER(G54),IFERROR(G54/F54,""),"")</f>
        <v>6.8</v>
      </c>
      <c r="I54" s="17" t="n">
        <v>19.9</v>
      </c>
      <c r="J54" s="17" t="n">
        <v>29.9</v>
      </c>
      <c r="K54" s="19" t="s">
        <v>64</v>
      </c>
      <c r="L54" s="20" t="n">
        <v>24.9</v>
      </c>
      <c r="M54" s="18" t="n">
        <f aca="false">IFERROR(L54*(1-Premissas!$B$5)*(1-Premissas!$B$6)-H54-Premissas!$B$7,"")</f>
        <v>15.61845</v>
      </c>
      <c r="N54" s="21" t="n">
        <f aca="false">IFERROR(M54/L54,"")</f>
        <v>0.627246987951807</v>
      </c>
      <c r="O54" s="18" t="n">
        <f aca="false">IFERROR(L54*(1-Premissas!$B$8)-Premissas!$B$9-H54-Premissas!$B$7,"")</f>
        <v>7.862</v>
      </c>
      <c r="P54" s="18" t="n">
        <f aca="false">IFERROR(L54*(1-Premissas!$B$10)-Premissas!$B$11-H54-Premissas!$B$7,"")</f>
        <v>8.12</v>
      </c>
      <c r="Q54" s="18" t="n">
        <f aca="false">IFERROR(M54*F54,"")</f>
        <v>15.61845</v>
      </c>
      <c r="R54" s="22" t="n">
        <f aca="false">IFERROR(IF(M54&gt;0,ROUNDUP(Premissas!$B$12/M54,0),"sem lucro"),"")</f>
        <v>65</v>
      </c>
      <c r="S54" s="15" t="s">
        <v>65</v>
      </c>
      <c r="T54" s="23" t="s">
        <v>66</v>
      </c>
      <c r="U54" s="15" t="s">
        <v>228</v>
      </c>
      <c r="V54" s="18" t="n">
        <f aca="false">IF(AND(T54="S",ISNUMBER(L54),ISNUMBER(F54)),L54*F54*X54,0)</f>
        <v>298.8</v>
      </c>
      <c r="W54" s="18" t="n">
        <f aca="false">IF(AND(T54="S",ISNUMBER(Q54)),Q54*X54,0)</f>
        <v>187.4214</v>
      </c>
      <c r="X54" s="23" t="n">
        <v>12</v>
      </c>
      <c r="Y54" s="18" t="n">
        <f aca="false">IF(AND(T54="S",ISNUMBER(G54)),G54*X54,0)</f>
        <v>81.6</v>
      </c>
    </row>
    <row r="55" customFormat="false" ht="15" hidden="false" customHeight="false" outlineLevel="0" collapsed="false">
      <c r="A55" s="14" t="s">
        <v>229</v>
      </c>
      <c r="B55" s="15" t="s">
        <v>230</v>
      </c>
      <c r="C55" s="14" t="s">
        <v>223</v>
      </c>
      <c r="D55" s="14" t="s">
        <v>141</v>
      </c>
      <c r="E55" s="14" t="n">
        <v>4</v>
      </c>
      <c r="F55" s="16" t="n">
        <v>1</v>
      </c>
      <c r="G55" s="17" t="n">
        <v>6.6</v>
      </c>
      <c r="H55" s="18" t="n">
        <f aca="false">IF(ISNUMBER(G55),IFERROR(G55/F55,""),"")</f>
        <v>6.6</v>
      </c>
      <c r="I55" s="17" t="n">
        <v>19.9</v>
      </c>
      <c r="J55" s="17" t="n">
        <v>24.9</v>
      </c>
      <c r="K55" s="19" t="s">
        <v>64</v>
      </c>
      <c r="L55" s="20" t="n">
        <v>22.9</v>
      </c>
      <c r="M55" s="18" t="n">
        <f aca="false">IFERROR(L55*(1-Premissas!$B$5)*(1-Premissas!$B$6)-H55-Premissas!$B$7,"")</f>
        <v>13.93745</v>
      </c>
      <c r="N55" s="21" t="n">
        <f aca="false">IFERROR(M55/L55,"")</f>
        <v>0.608622270742358</v>
      </c>
      <c r="O55" s="18" t="n">
        <f aca="false">IFERROR(L55*(1-Premissas!$B$8)-Premissas!$B$9-H55-Premissas!$B$7,"")</f>
        <v>6.302</v>
      </c>
      <c r="P55" s="18" t="n">
        <f aca="false">IFERROR(L55*(1-Premissas!$B$10)-Premissas!$B$11-H55-Premissas!$B$7,"")</f>
        <v>6.72</v>
      </c>
      <c r="Q55" s="18" t="n">
        <f aca="false">IFERROR(M55*F55,"")</f>
        <v>13.93745</v>
      </c>
      <c r="R55" s="22" t="n">
        <f aca="false">IFERROR(IF(M55&gt;0,ROUNDUP(Premissas!$B$12/M55,0),"sem lucro"),"")</f>
        <v>72</v>
      </c>
      <c r="S55" s="15" t="s">
        <v>231</v>
      </c>
      <c r="T55" s="23" t="s">
        <v>66</v>
      </c>
      <c r="U55" s="15" t="s">
        <v>232</v>
      </c>
      <c r="V55" s="18" t="n">
        <f aca="false">IF(AND(T55="S",ISNUMBER(L55),ISNUMBER(F55)),L55*F55*X55,0)</f>
        <v>274.8</v>
      </c>
      <c r="W55" s="18" t="n">
        <f aca="false">IF(AND(T55="S",ISNUMBER(Q55)),Q55*X55,0)</f>
        <v>167.2494</v>
      </c>
      <c r="X55" s="23" t="n">
        <v>12</v>
      </c>
      <c r="Y55" s="18" t="n">
        <f aca="false">IF(AND(T55="S",ISNUMBER(G55)),G55*X55,0)</f>
        <v>79.2</v>
      </c>
    </row>
    <row r="56" customFormat="false" ht="15" hidden="false" customHeight="false" outlineLevel="0" collapsed="false">
      <c r="A56" s="14" t="s">
        <v>233</v>
      </c>
      <c r="B56" s="15" t="s">
        <v>234</v>
      </c>
      <c r="C56" s="14" t="s">
        <v>217</v>
      </c>
      <c r="D56" s="14" t="s">
        <v>63</v>
      </c>
      <c r="E56" s="14" t="n">
        <v>5</v>
      </c>
      <c r="F56" s="16" t="n">
        <v>18</v>
      </c>
      <c r="G56" s="17" t="n">
        <v>89.6</v>
      </c>
      <c r="H56" s="18" t="n">
        <f aca="false">IF(ISNUMBER(G56),IFERROR(G56/F56,""),"")</f>
        <v>4.97777777777778</v>
      </c>
      <c r="I56" s="17" t="n">
        <v>12.9</v>
      </c>
      <c r="J56" s="17" t="n">
        <v>14.9</v>
      </c>
      <c r="K56" s="19" t="s">
        <v>64</v>
      </c>
      <c r="L56" s="20" t="n">
        <v>13.9</v>
      </c>
      <c r="M56" s="18" t="n">
        <f aca="false">IFERROR(L56*(1-Premissas!$B$5)*(1-Premissas!$B$6)-H56-Premissas!$B$7,"")</f>
        <v>7.09517222222222</v>
      </c>
      <c r="N56" s="21" t="n">
        <f aca="false">IFERROR(M56/L56,"")</f>
        <v>0.510444044764189</v>
      </c>
      <c r="O56" s="18" t="n">
        <f aca="false">IFERROR(L56*(1-Premissas!$B$8)-Premissas!$B$9-H56-Premissas!$B$7,"")</f>
        <v>0.00422222222222324</v>
      </c>
      <c r="P56" s="18" t="n">
        <f aca="false">IFERROR(L56*(1-Premissas!$B$10)-Premissas!$B$11-H56-Premissas!$B$7,"")</f>
        <v>1.14222222222222</v>
      </c>
      <c r="Q56" s="18" t="n">
        <f aca="false">IFERROR(M56*F56,"")</f>
        <v>127.7131</v>
      </c>
      <c r="R56" s="22" t="n">
        <f aca="false">IFERROR(IF(M56&gt;0,ROUNDUP(Premissas!$B$12/M56,0),"sem lucro"),"")</f>
        <v>141</v>
      </c>
      <c r="S56" s="15" t="s">
        <v>82</v>
      </c>
      <c r="T56" s="23" t="s">
        <v>76</v>
      </c>
      <c r="U56" s="15" t="s">
        <v>218</v>
      </c>
      <c r="V56" s="18" t="n">
        <f aca="false">IF(AND(T56="S",ISNUMBER(L56),ISNUMBER(F56)),L56*F56*X56,0)</f>
        <v>0</v>
      </c>
      <c r="W56" s="18" t="n">
        <f aca="false">IF(AND(T56="S",ISNUMBER(Q56)),Q56*X56,0)</f>
        <v>0</v>
      </c>
      <c r="X56" s="23" t="n">
        <v>1</v>
      </c>
      <c r="Y56" s="18" t="n">
        <f aca="false">IF(AND(T56="S",ISNUMBER(G56)),G56*X56,0)</f>
        <v>0</v>
      </c>
    </row>
    <row r="57" customFormat="false" ht="15" hidden="false" customHeight="false" outlineLevel="0" collapsed="false">
      <c r="A57" s="14" t="s">
        <v>235</v>
      </c>
      <c r="B57" s="15" t="s">
        <v>236</v>
      </c>
      <c r="C57" s="14" t="s">
        <v>237</v>
      </c>
      <c r="D57" s="14" t="s">
        <v>125</v>
      </c>
      <c r="E57" s="14" t="n">
        <v>5</v>
      </c>
      <c r="F57" s="16" t="n">
        <v>24</v>
      </c>
      <c r="G57" s="17" t="n">
        <v>160.2</v>
      </c>
      <c r="H57" s="18" t="n">
        <f aca="false">IF(ISNUMBER(G57),IFERROR(G57/F57,""),"")</f>
        <v>6.675</v>
      </c>
      <c r="I57" s="17" t="n">
        <v>10</v>
      </c>
      <c r="J57" s="17" t="n">
        <v>14.9</v>
      </c>
      <c r="K57" s="19" t="s">
        <v>64</v>
      </c>
      <c r="L57" s="20" t="n">
        <v>14.9</v>
      </c>
      <c r="M57" s="18" t="n">
        <f aca="false">IFERROR(L57*(1-Premissas!$B$5)*(1-Premissas!$B$6)-H57-Premissas!$B$7,"")</f>
        <v>6.33845</v>
      </c>
      <c r="N57" s="21" t="n">
        <f aca="false">IFERROR(M57/L57,"")</f>
        <v>0.42539932885906</v>
      </c>
      <c r="O57" s="18" t="n">
        <f aca="false">IFERROR(L57*(1-Premissas!$B$8)-Premissas!$B$9-H57-Premissas!$B$7,"")</f>
        <v>-0.813</v>
      </c>
      <c r="P57" s="18" t="n">
        <f aca="false">IFERROR(L57*(1-Premissas!$B$10)-Premissas!$B$11-H57-Premissas!$B$7,"")</f>
        <v>0.245000000000002</v>
      </c>
      <c r="Q57" s="18" t="n">
        <f aca="false">IFERROR(M57*F57,"")</f>
        <v>152.1228</v>
      </c>
      <c r="R57" s="22" t="n">
        <f aca="false">IFERROR(IF(M57&gt;0,ROUNDUP(Premissas!$B$12/M57,0),"sem lucro"),"")</f>
        <v>158</v>
      </c>
      <c r="S57" s="15" t="s">
        <v>82</v>
      </c>
      <c r="T57" s="23" t="s">
        <v>76</v>
      </c>
      <c r="U57" s="15"/>
      <c r="V57" s="18" t="n">
        <f aca="false">IF(AND(T57="S",ISNUMBER(L57),ISNUMBER(F57)),L57*F57*X57,0)</f>
        <v>0</v>
      </c>
      <c r="W57" s="18" t="n">
        <f aca="false">IF(AND(T57="S",ISNUMBER(Q57)),Q57*X57,0)</f>
        <v>0</v>
      </c>
      <c r="X57" s="23" t="n">
        <v>1</v>
      </c>
      <c r="Y57" s="18" t="n">
        <f aca="false">IF(AND(T57="S",ISNUMBER(G57)),G57*X57,0)</f>
        <v>0</v>
      </c>
    </row>
    <row r="58" customFormat="false" ht="15" hidden="false" customHeight="false" outlineLevel="0" collapsed="false">
      <c r="A58" s="14" t="s">
        <v>238</v>
      </c>
      <c r="B58" s="15" t="s">
        <v>239</v>
      </c>
      <c r="C58" s="14" t="s">
        <v>237</v>
      </c>
      <c r="D58" s="14" t="s">
        <v>117</v>
      </c>
      <c r="E58" s="14" t="n">
        <v>5</v>
      </c>
      <c r="F58" s="16" t="n">
        <v>24</v>
      </c>
      <c r="G58" s="17" t="n">
        <v>165.99</v>
      </c>
      <c r="H58" s="18" t="n">
        <f aca="false">IF(ISNUMBER(G58),IFERROR(G58/F58,""),"")</f>
        <v>6.91625</v>
      </c>
      <c r="I58" s="17" t="n">
        <v>12.9</v>
      </c>
      <c r="J58" s="17" t="n">
        <v>14.9</v>
      </c>
      <c r="K58" s="19" t="s">
        <v>64</v>
      </c>
      <c r="L58" s="20" t="n">
        <v>14.9</v>
      </c>
      <c r="M58" s="18" t="n">
        <f aca="false">IFERROR(L58*(1-Premissas!$B$5)*(1-Premissas!$B$6)-H58-Premissas!$B$7,"")</f>
        <v>6.0972</v>
      </c>
      <c r="N58" s="21" t="n">
        <f aca="false">IFERROR(M58/L58,"")</f>
        <v>0.409208053691275</v>
      </c>
      <c r="O58" s="18" t="n">
        <f aca="false">IFERROR(L58*(1-Premissas!$B$8)-Premissas!$B$9-H58-Premissas!$B$7,"")</f>
        <v>-1.05425</v>
      </c>
      <c r="P58" s="18" t="n">
        <f aca="false">IFERROR(L58*(1-Premissas!$B$10)-Premissas!$B$11-H58-Premissas!$B$7,"")</f>
        <v>0.00375000000000103</v>
      </c>
      <c r="Q58" s="18" t="n">
        <f aca="false">IFERROR(M58*F58,"")</f>
        <v>146.3328</v>
      </c>
      <c r="R58" s="22" t="n">
        <f aca="false">IFERROR(IF(M58&gt;0,ROUNDUP(Premissas!$B$12/M58,0),"sem lucro"),"")</f>
        <v>165</v>
      </c>
      <c r="S58" s="15" t="s">
        <v>82</v>
      </c>
      <c r="T58" s="23" t="s">
        <v>76</v>
      </c>
      <c r="U58" s="15" t="s">
        <v>240</v>
      </c>
      <c r="V58" s="18" t="n">
        <f aca="false">IF(AND(T58="S",ISNUMBER(L58),ISNUMBER(F58)),L58*F58*X58,0)</f>
        <v>0</v>
      </c>
      <c r="W58" s="18" t="n">
        <f aca="false">IF(AND(T58="S",ISNUMBER(Q58)),Q58*X58,0)</f>
        <v>0</v>
      </c>
      <c r="X58" s="23" t="n">
        <v>1</v>
      </c>
      <c r="Y58" s="18" t="n">
        <f aca="false">IF(AND(T58="S",ISNUMBER(G58)),G58*X58,0)</f>
        <v>0</v>
      </c>
    </row>
    <row r="59" customFormat="false" ht="15" hidden="false" customHeight="false" outlineLevel="0" collapsed="false">
      <c r="A59" s="14" t="s">
        <v>241</v>
      </c>
      <c r="B59" s="15" t="s">
        <v>242</v>
      </c>
      <c r="C59" s="14" t="s">
        <v>207</v>
      </c>
      <c r="D59" s="14" t="s">
        <v>63</v>
      </c>
      <c r="E59" s="14" t="n">
        <v>5</v>
      </c>
      <c r="F59" s="16" t="n">
        <v>1</v>
      </c>
      <c r="G59" s="17" t="n">
        <v>6.7</v>
      </c>
      <c r="H59" s="18" t="n">
        <f aca="false">IF(ISNUMBER(G59),IFERROR(G59/F59,""),"")</f>
        <v>6.7</v>
      </c>
      <c r="I59" s="17" t="n">
        <v>12.9</v>
      </c>
      <c r="J59" s="17" t="n">
        <v>16.9</v>
      </c>
      <c r="K59" s="19" t="s">
        <v>64</v>
      </c>
      <c r="L59" s="20" t="n">
        <v>14.9</v>
      </c>
      <c r="M59" s="18" t="n">
        <f aca="false">IFERROR(L59*(1-Premissas!$B$5)*(1-Premissas!$B$6)-H59-Premissas!$B$7,"")</f>
        <v>6.31345</v>
      </c>
      <c r="N59" s="21" t="n">
        <f aca="false">IFERROR(M59/L59,"")</f>
        <v>0.423721476510067</v>
      </c>
      <c r="O59" s="18" t="n">
        <f aca="false">IFERROR(L59*(1-Premissas!$B$8)-Premissas!$B$9-H59-Premissas!$B$7,"")</f>
        <v>-0.838</v>
      </c>
      <c r="P59" s="18" t="n">
        <f aca="false">IFERROR(L59*(1-Premissas!$B$10)-Premissas!$B$11-H59-Premissas!$B$7,"")</f>
        <v>0.220000000000002</v>
      </c>
      <c r="Q59" s="18" t="n">
        <f aca="false">IFERROR(M59*F59,"")</f>
        <v>6.31345</v>
      </c>
      <c r="R59" s="22" t="n">
        <f aca="false">IFERROR(IF(M59&gt;0,ROUNDUP(Premissas!$B$12/M59,0),"sem lucro"),"")</f>
        <v>159</v>
      </c>
      <c r="S59" s="15" t="s">
        <v>243</v>
      </c>
      <c r="T59" s="23" t="s">
        <v>66</v>
      </c>
      <c r="U59" s="15"/>
      <c r="V59" s="18" t="n">
        <f aca="false">IF(AND(T59="S",ISNUMBER(L59),ISNUMBER(F59)),L59*F59*X59,0)</f>
        <v>178.8</v>
      </c>
      <c r="W59" s="18" t="n">
        <f aca="false">IF(AND(T59="S",ISNUMBER(Q59)),Q59*X59,0)</f>
        <v>75.7614</v>
      </c>
      <c r="X59" s="23" t="n">
        <v>12</v>
      </c>
      <c r="Y59" s="18" t="n">
        <f aca="false">IF(AND(T59="S",ISNUMBER(G59)),G59*X59,0)</f>
        <v>80.4</v>
      </c>
    </row>
    <row r="60" customFormat="false" ht="15" hidden="false" customHeight="false" outlineLevel="0" collapsed="false">
      <c r="A60" s="14" t="s">
        <v>244</v>
      </c>
      <c r="B60" s="15" t="s">
        <v>245</v>
      </c>
      <c r="C60" s="14" t="s">
        <v>207</v>
      </c>
      <c r="D60" s="14" t="s">
        <v>63</v>
      </c>
      <c r="E60" s="14" t="n">
        <v>5</v>
      </c>
      <c r="F60" s="16" t="n">
        <v>24</v>
      </c>
      <c r="G60" s="17" t="n">
        <v>161.7</v>
      </c>
      <c r="H60" s="18" t="n">
        <f aca="false">IF(ISNUMBER(G60),IFERROR(G60/F60,""),"")</f>
        <v>6.7375</v>
      </c>
      <c r="I60" s="17" t="n">
        <v>12.9</v>
      </c>
      <c r="J60" s="17" t="n">
        <v>13.29</v>
      </c>
      <c r="K60" s="19" t="s">
        <v>64</v>
      </c>
      <c r="L60" s="20" t="n">
        <v>12.9</v>
      </c>
      <c r="M60" s="18" t="n">
        <f aca="false">IFERROR(L60*(1-Premissas!$B$5)*(1-Premissas!$B$6)-H60-Premissas!$B$7,"")</f>
        <v>4.39495</v>
      </c>
      <c r="N60" s="21" t="n">
        <f aca="false">IFERROR(M60/L60,"")</f>
        <v>0.340693798449612</v>
      </c>
      <c r="O60" s="18" t="n">
        <f aca="false">IFERROR(L60*(1-Premissas!$B$8)-Premissas!$B$9-H60-Premissas!$B$7,"")</f>
        <v>-2.6355</v>
      </c>
      <c r="P60" s="18" t="n">
        <f aca="false">IFERROR(L60*(1-Premissas!$B$10)-Premissas!$B$11-H60-Premissas!$B$7,"")</f>
        <v>-1.4175</v>
      </c>
      <c r="Q60" s="18" t="n">
        <f aca="false">IFERROR(M60*F60,"")</f>
        <v>105.4788</v>
      </c>
      <c r="R60" s="22" t="n">
        <f aca="false">IFERROR(IF(M60&gt;0,ROUNDUP(Premissas!$B$12/M60,0),"sem lucro"),"")</f>
        <v>228</v>
      </c>
      <c r="S60" s="15" t="s">
        <v>82</v>
      </c>
      <c r="T60" s="23" t="s">
        <v>76</v>
      </c>
      <c r="U60" s="15" t="s">
        <v>246</v>
      </c>
      <c r="V60" s="18" t="n">
        <f aca="false">IF(AND(T60="S",ISNUMBER(L60),ISNUMBER(F60)),L60*F60*X60,0)</f>
        <v>0</v>
      </c>
      <c r="W60" s="18" t="n">
        <f aca="false">IF(AND(T60="S",ISNUMBER(Q60)),Q60*X60,0)</f>
        <v>0</v>
      </c>
      <c r="X60" s="23" t="n">
        <v>1</v>
      </c>
      <c r="Y60" s="18" t="n">
        <f aca="false">IF(AND(T60="S",ISNUMBER(G60)),G60*X60,0)</f>
        <v>0</v>
      </c>
    </row>
    <row r="61" customFormat="false" ht="15" hidden="false" customHeight="false" outlineLevel="0" collapsed="false">
      <c r="A61" s="14" t="s">
        <v>247</v>
      </c>
      <c r="B61" s="15" t="s">
        <v>248</v>
      </c>
      <c r="C61" s="14" t="s">
        <v>207</v>
      </c>
      <c r="D61" s="14" t="s">
        <v>63</v>
      </c>
      <c r="E61" s="14" t="n">
        <v>5</v>
      </c>
      <c r="F61" s="16" t="n">
        <v>24</v>
      </c>
      <c r="G61" s="17" t="n">
        <v>138.99</v>
      </c>
      <c r="H61" s="18" t="n">
        <f aca="false">IF(ISNUMBER(G61),IFERROR(G61/F61,""),"")</f>
        <v>5.79125</v>
      </c>
      <c r="I61" s="17" t="n">
        <v>14.9</v>
      </c>
      <c r="J61" s="17" t="n">
        <v>18.5</v>
      </c>
      <c r="K61" s="19" t="s">
        <v>64</v>
      </c>
      <c r="L61" s="20" t="n">
        <v>14.9</v>
      </c>
      <c r="M61" s="18" t="n">
        <f aca="false">IFERROR(L61*(1-Premissas!$B$5)*(1-Premissas!$B$6)-H61-Premissas!$B$7,"")</f>
        <v>7.2222</v>
      </c>
      <c r="N61" s="21" t="n">
        <f aca="false">IFERROR(M61/L61,"")</f>
        <v>0.484711409395973</v>
      </c>
      <c r="O61" s="18" t="n">
        <f aca="false">IFERROR(L61*(1-Premissas!$B$8)-Premissas!$B$9-H61-Premissas!$B$7,"")</f>
        <v>0.0707499999999994</v>
      </c>
      <c r="P61" s="18" t="n">
        <f aca="false">IFERROR(L61*(1-Premissas!$B$10)-Premissas!$B$11-H61-Premissas!$B$7,"")</f>
        <v>1.12875</v>
      </c>
      <c r="Q61" s="18" t="n">
        <f aca="false">IFERROR(M61*F61,"")</f>
        <v>173.3328</v>
      </c>
      <c r="R61" s="22" t="n">
        <f aca="false">IFERROR(IF(M61&gt;0,ROUNDUP(Premissas!$B$12/M61,0),"sem lucro"),"")</f>
        <v>139</v>
      </c>
      <c r="S61" s="15" t="s">
        <v>65</v>
      </c>
      <c r="T61" s="23" t="s">
        <v>66</v>
      </c>
      <c r="U61" s="15" t="s">
        <v>249</v>
      </c>
      <c r="V61" s="18" t="n">
        <f aca="false">IF(AND(T61="S",ISNUMBER(L61),ISNUMBER(F61)),L61*F61*X61,0)</f>
        <v>357.6</v>
      </c>
      <c r="W61" s="18" t="n">
        <f aca="false">IF(AND(T61="S",ISNUMBER(Q61)),Q61*X61,0)</f>
        <v>173.3328</v>
      </c>
      <c r="X61" s="23" t="n">
        <v>1</v>
      </c>
      <c r="Y61" s="18" t="n">
        <f aca="false">IF(AND(T61="S",ISNUMBER(G61)),G61*X61,0)</f>
        <v>138.99</v>
      </c>
    </row>
    <row r="62" customFormat="false" ht="15" hidden="false" customHeight="false" outlineLevel="0" collapsed="false">
      <c r="A62" s="14" t="s">
        <v>250</v>
      </c>
      <c r="B62" s="15" t="s">
        <v>251</v>
      </c>
      <c r="C62" s="14" t="s">
        <v>207</v>
      </c>
      <c r="D62" s="14" t="s">
        <v>117</v>
      </c>
      <c r="E62" s="14" t="n">
        <v>5</v>
      </c>
      <c r="F62" s="16" t="n">
        <v>24</v>
      </c>
      <c r="G62" s="17" t="n">
        <v>191.2</v>
      </c>
      <c r="H62" s="18" t="n">
        <f aca="false">IF(ISNUMBER(G62),IFERROR(G62/F62,""),"")</f>
        <v>7.96666666666667</v>
      </c>
      <c r="I62" s="17" t="n">
        <v>12.9</v>
      </c>
      <c r="J62" s="17" t="n">
        <v>14.9</v>
      </c>
      <c r="K62" s="19" t="s">
        <v>64</v>
      </c>
      <c r="L62" s="20" t="n">
        <v>14.9</v>
      </c>
      <c r="M62" s="18" t="n">
        <f aca="false">IFERROR(L62*(1-Premissas!$B$5)*(1-Premissas!$B$6)-H62-Premissas!$B$7,"")</f>
        <v>5.04678333333333</v>
      </c>
      <c r="N62" s="21" t="n">
        <f aca="false">IFERROR(M62/L62,"")</f>
        <v>0.33871029082774</v>
      </c>
      <c r="O62" s="18" t="n">
        <f aca="false">IFERROR(L62*(1-Premissas!$B$8)-Premissas!$B$9-H62-Premissas!$B$7,"")</f>
        <v>-2.10466666666667</v>
      </c>
      <c r="P62" s="18" t="n">
        <f aca="false">IFERROR(L62*(1-Premissas!$B$10)-Premissas!$B$11-H62-Premissas!$B$7,"")</f>
        <v>-1.04666666666666</v>
      </c>
      <c r="Q62" s="18" t="n">
        <f aca="false">IFERROR(M62*F62,"")</f>
        <v>121.1228</v>
      </c>
      <c r="R62" s="22" t="n">
        <f aca="false">IFERROR(IF(M62&gt;0,ROUNDUP(Premissas!$B$12/M62,0),"sem lucro"),"")</f>
        <v>199</v>
      </c>
      <c r="S62" s="15" t="s">
        <v>252</v>
      </c>
      <c r="T62" s="23" t="s">
        <v>76</v>
      </c>
      <c r="U62" s="15"/>
      <c r="V62" s="18" t="n">
        <f aca="false">IF(AND(T62="S",ISNUMBER(L62),ISNUMBER(F62)),L62*F62*X62,0)</f>
        <v>0</v>
      </c>
      <c r="W62" s="18" t="n">
        <f aca="false">IF(AND(T62="S",ISNUMBER(Q62)),Q62*X62,0)</f>
        <v>0</v>
      </c>
      <c r="X62" s="23" t="n">
        <v>1</v>
      </c>
      <c r="Y62" s="18" t="n">
        <f aca="false">IF(AND(T62="S",ISNUMBER(G62)),G62*X62,0)</f>
        <v>0</v>
      </c>
    </row>
    <row r="63" customFormat="false" ht="15" hidden="false" customHeight="false" outlineLevel="0" collapsed="false">
      <c r="A63" s="14" t="s">
        <v>253</v>
      </c>
      <c r="B63" s="15" t="s">
        <v>254</v>
      </c>
      <c r="C63" s="14" t="s">
        <v>255</v>
      </c>
      <c r="D63" s="14" t="s">
        <v>63</v>
      </c>
      <c r="E63" s="14" t="n">
        <v>5</v>
      </c>
      <c r="F63" s="16" t="n">
        <v>36</v>
      </c>
      <c r="G63" s="17" t="n">
        <v>224.9</v>
      </c>
      <c r="H63" s="18" t="n">
        <f aca="false">IF(ISNUMBER(G63),IFERROR(G63/F63,""),"")</f>
        <v>6.24722222222222</v>
      </c>
      <c r="I63" s="17" t="n">
        <v>12.9</v>
      </c>
      <c r="J63" s="17" t="n">
        <v>12.9</v>
      </c>
      <c r="K63" s="19" t="s">
        <v>64</v>
      </c>
      <c r="L63" s="20" t="n">
        <v>12.9</v>
      </c>
      <c r="M63" s="18" t="n">
        <f aca="false">IFERROR(L63*(1-Premissas!$B$5)*(1-Premissas!$B$6)-H63-Premissas!$B$7,"")</f>
        <v>4.88522777777778</v>
      </c>
      <c r="N63" s="21" t="n">
        <f aca="false">IFERROR(M63/L63,"")</f>
        <v>0.378699827734711</v>
      </c>
      <c r="O63" s="18" t="n">
        <f aca="false">IFERROR(L63*(1-Premissas!$B$8)-Premissas!$B$9-H63-Premissas!$B$7,"")</f>
        <v>-2.14522222222222</v>
      </c>
      <c r="P63" s="18" t="n">
        <f aca="false">IFERROR(L63*(1-Premissas!$B$10)-Premissas!$B$11-H63-Premissas!$B$7,"")</f>
        <v>-0.927222222222222</v>
      </c>
      <c r="Q63" s="18" t="n">
        <f aca="false">IFERROR(M63*F63,"")</f>
        <v>175.8682</v>
      </c>
      <c r="R63" s="22" t="n">
        <f aca="false">IFERROR(IF(M63&gt;0,ROUNDUP(Premissas!$B$12/M63,0),"sem lucro"),"")</f>
        <v>205</v>
      </c>
      <c r="S63" s="15" t="s">
        <v>82</v>
      </c>
      <c r="T63" s="23" t="s">
        <v>76</v>
      </c>
      <c r="U63" s="15" t="s">
        <v>256</v>
      </c>
      <c r="V63" s="18" t="n">
        <f aca="false">IF(AND(T63="S",ISNUMBER(L63),ISNUMBER(F63)),L63*F63*X63,0)</f>
        <v>0</v>
      </c>
      <c r="W63" s="18" t="n">
        <f aca="false">IF(AND(T63="S",ISNUMBER(Q63)),Q63*X63,0)</f>
        <v>0</v>
      </c>
      <c r="X63" s="23" t="n">
        <v>1</v>
      </c>
      <c r="Y63" s="18" t="n">
        <f aca="false">IF(AND(T63="S",ISNUMBER(G63)),G63*X63,0)</f>
        <v>0</v>
      </c>
    </row>
    <row r="64" customFormat="false" ht="15" hidden="false" customHeight="false" outlineLevel="0" collapsed="false">
      <c r="A64" s="14" t="s">
        <v>257</v>
      </c>
      <c r="B64" s="15" t="s">
        <v>258</v>
      </c>
      <c r="C64" s="14" t="s">
        <v>259</v>
      </c>
      <c r="D64" s="14" t="s">
        <v>117</v>
      </c>
      <c r="E64" s="14" t="n">
        <v>5</v>
      </c>
      <c r="F64" s="16" t="n">
        <v>36</v>
      </c>
      <c r="G64" s="17" t="n">
        <v>224.9</v>
      </c>
      <c r="H64" s="18" t="n">
        <f aca="false">IF(ISNUMBER(G64),IFERROR(G64/F64,""),"")</f>
        <v>6.24722222222222</v>
      </c>
      <c r="I64" s="17" t="n">
        <v>2.08</v>
      </c>
      <c r="J64" s="17" t="n">
        <v>12.9</v>
      </c>
      <c r="K64" s="14" t="s">
        <v>93</v>
      </c>
      <c r="L64" s="20" t="n">
        <v>11.9</v>
      </c>
      <c r="M64" s="18" t="n">
        <f aca="false">IFERROR(L64*(1-Premissas!$B$5)*(1-Premissas!$B$6)-H64-Premissas!$B$7,"")</f>
        <v>3.94472777777778</v>
      </c>
      <c r="N64" s="21" t="n">
        <f aca="false">IFERROR(M64/L64,"")</f>
        <v>0.331489729225023</v>
      </c>
      <c r="O64" s="18" t="n">
        <f aca="false">IFERROR(L64*(1-Premissas!$B$8)-Premissas!$B$9-H64-Premissas!$B$7,"")</f>
        <v>-3.02522222222222</v>
      </c>
      <c r="P64" s="18" t="n">
        <f aca="false">IFERROR(L64*(1-Premissas!$B$10)-Premissas!$B$11-H64-Premissas!$B$7,"")</f>
        <v>-1.72722222222222</v>
      </c>
      <c r="Q64" s="18" t="n">
        <f aca="false">IFERROR(M64*F64,"")</f>
        <v>142.0102</v>
      </c>
      <c r="R64" s="22" t="n">
        <f aca="false">IFERROR(IF(M64&gt;0,ROUNDUP(Premissas!$B$12/M64,0),"sem lucro"),"")</f>
        <v>254</v>
      </c>
      <c r="S64" s="15" t="s">
        <v>260</v>
      </c>
      <c r="T64" s="23" t="s">
        <v>76</v>
      </c>
      <c r="U64" s="15" t="s">
        <v>261</v>
      </c>
      <c r="V64" s="18" t="n">
        <f aca="false">IF(AND(T64="S",ISNUMBER(L64),ISNUMBER(F64)),L64*F64*X64,0)</f>
        <v>0</v>
      </c>
      <c r="W64" s="18" t="n">
        <f aca="false">IF(AND(T64="S",ISNUMBER(Q64)),Q64*X64,0)</f>
        <v>0</v>
      </c>
      <c r="X64" s="23" t="n">
        <v>1</v>
      </c>
      <c r="Y64" s="18" t="n">
        <f aca="false">IF(AND(T64="S",ISNUMBER(G64)),G64*X64,0)</f>
        <v>0</v>
      </c>
    </row>
    <row r="65" customFormat="false" ht="15" hidden="false" customHeight="false" outlineLevel="0" collapsed="false">
      <c r="A65" s="14" t="s">
        <v>262</v>
      </c>
      <c r="B65" s="15" t="s">
        <v>263</v>
      </c>
      <c r="C65" s="14" t="s">
        <v>259</v>
      </c>
      <c r="D65" s="14" t="s">
        <v>117</v>
      </c>
      <c r="E65" s="14" t="n">
        <v>5</v>
      </c>
      <c r="F65" s="16" t="n">
        <v>36</v>
      </c>
      <c r="G65" s="17" t="n">
        <v>229.99</v>
      </c>
      <c r="H65" s="18" t="n">
        <f aca="false">IF(ISNUMBER(G65),IFERROR(G65/F65,""),"")</f>
        <v>6.38861111111111</v>
      </c>
      <c r="I65" s="17" t="n">
        <v>12.9</v>
      </c>
      <c r="J65" s="17" t="n">
        <v>12.9</v>
      </c>
      <c r="K65" s="19" t="s">
        <v>64</v>
      </c>
      <c r="L65" s="20" t="n">
        <v>12.9</v>
      </c>
      <c r="M65" s="18" t="n">
        <f aca="false">IFERROR(L65*(1-Premissas!$B$5)*(1-Premissas!$B$6)-H65-Premissas!$B$7,"")</f>
        <v>4.74383888888889</v>
      </c>
      <c r="N65" s="21" t="n">
        <f aca="false">IFERROR(M65/L65,"")</f>
        <v>0.367739448751077</v>
      </c>
      <c r="O65" s="18" t="n">
        <f aca="false">IFERROR(L65*(1-Premissas!$B$8)-Premissas!$B$9-H65-Premissas!$B$7,"")</f>
        <v>-2.28661111111111</v>
      </c>
      <c r="P65" s="18" t="n">
        <f aca="false">IFERROR(L65*(1-Premissas!$B$10)-Premissas!$B$11-H65-Premissas!$B$7,"")</f>
        <v>-1.06861111111111</v>
      </c>
      <c r="Q65" s="18" t="n">
        <f aca="false">IFERROR(M65*F65,"")</f>
        <v>170.7782</v>
      </c>
      <c r="R65" s="22" t="n">
        <f aca="false">IFERROR(IF(M65&gt;0,ROUNDUP(Premissas!$B$12/M65,0),"sem lucro"),"")</f>
        <v>211</v>
      </c>
      <c r="S65" s="15" t="s">
        <v>252</v>
      </c>
      <c r="T65" s="23" t="s">
        <v>76</v>
      </c>
      <c r="U65" s="15" t="s">
        <v>256</v>
      </c>
      <c r="V65" s="18" t="n">
        <f aca="false">IF(AND(T65="S",ISNUMBER(L65),ISNUMBER(F65)),L65*F65*X65,0)</f>
        <v>0</v>
      </c>
      <c r="W65" s="18" t="n">
        <f aca="false">IF(AND(T65="S",ISNUMBER(Q65)),Q65*X65,0)</f>
        <v>0</v>
      </c>
      <c r="X65" s="23" t="n">
        <v>1</v>
      </c>
      <c r="Y65" s="18" t="n">
        <f aca="false">IF(AND(T65="S",ISNUMBER(G65)),G65*X65,0)</f>
        <v>0</v>
      </c>
    </row>
    <row r="66" customFormat="false" ht="15" hidden="false" customHeight="false" outlineLevel="0" collapsed="false">
      <c r="A66" s="14" t="s">
        <v>264</v>
      </c>
      <c r="B66" s="15" t="s">
        <v>265</v>
      </c>
      <c r="C66" s="14" t="s">
        <v>207</v>
      </c>
      <c r="D66" s="14" t="s">
        <v>63</v>
      </c>
      <c r="E66" s="14" t="n">
        <v>5</v>
      </c>
      <c r="F66" s="16" t="n">
        <v>24</v>
      </c>
      <c r="G66" s="17" t="n">
        <v>158.8</v>
      </c>
      <c r="H66" s="18" t="n">
        <f aca="false">IF(ISNUMBER(G66),IFERROR(G66/F66,""),"")</f>
        <v>6.61666666666667</v>
      </c>
      <c r="I66" s="17" t="n">
        <v>12.9</v>
      </c>
      <c r="J66" s="17" t="n">
        <v>12.9</v>
      </c>
      <c r="K66" s="19" t="s">
        <v>64</v>
      </c>
      <c r="L66" s="20" t="n">
        <v>12.9</v>
      </c>
      <c r="M66" s="18" t="n">
        <f aca="false">IFERROR(L66*(1-Premissas!$B$5)*(1-Premissas!$B$6)-H66-Premissas!$B$7,"")</f>
        <v>4.51578333333333</v>
      </c>
      <c r="N66" s="21" t="n">
        <f aca="false">IFERROR(M66/L66,"")</f>
        <v>0.350060723514212</v>
      </c>
      <c r="O66" s="18" t="n">
        <f aca="false">IFERROR(L66*(1-Premissas!$B$8)-Premissas!$B$9-H66-Premissas!$B$7,"")</f>
        <v>-2.51466666666667</v>
      </c>
      <c r="P66" s="18" t="n">
        <f aca="false">IFERROR(L66*(1-Premissas!$B$10)-Premissas!$B$11-H66-Premissas!$B$7,"")</f>
        <v>-1.29666666666667</v>
      </c>
      <c r="Q66" s="18" t="n">
        <f aca="false">IFERROR(M66*F66,"")</f>
        <v>108.3788</v>
      </c>
      <c r="R66" s="22" t="n">
        <f aca="false">IFERROR(IF(M66&gt;0,ROUNDUP(Premissas!$B$12/M66,0),"sem lucro"),"")</f>
        <v>222</v>
      </c>
      <c r="S66" s="15" t="s">
        <v>266</v>
      </c>
      <c r="T66" s="23" t="s">
        <v>76</v>
      </c>
      <c r="U66" s="15" t="s">
        <v>267</v>
      </c>
      <c r="V66" s="18" t="n">
        <f aca="false">IF(AND(T66="S",ISNUMBER(L66),ISNUMBER(F66)),L66*F66*X66,0)</f>
        <v>0</v>
      </c>
      <c r="W66" s="18" t="n">
        <f aca="false">IF(AND(T66="S",ISNUMBER(Q66)),Q66*X66,0)</f>
        <v>0</v>
      </c>
      <c r="X66" s="23" t="n">
        <v>1</v>
      </c>
      <c r="Y66" s="18" t="n">
        <f aca="false">IF(AND(T66="S",ISNUMBER(G66)),G66*X66,0)</f>
        <v>0</v>
      </c>
    </row>
    <row r="67" customFormat="false" ht="15" hidden="false" customHeight="false" outlineLevel="0" collapsed="false">
      <c r="A67" s="14" t="s">
        <v>268</v>
      </c>
      <c r="B67" s="15" t="s">
        <v>269</v>
      </c>
      <c r="C67" s="14" t="s">
        <v>207</v>
      </c>
      <c r="D67" s="14" t="s">
        <v>63</v>
      </c>
      <c r="E67" s="14" t="n">
        <v>5</v>
      </c>
      <c r="F67" s="16" t="n">
        <v>48</v>
      </c>
      <c r="G67" s="17" t="n">
        <v>115.99</v>
      </c>
      <c r="H67" s="18" t="n">
        <f aca="false">IF(ISNUMBER(G67),IFERROR(G67/F67,""),"")</f>
        <v>2.41645833333333</v>
      </c>
      <c r="I67" s="17" t="n">
        <v>6.76</v>
      </c>
      <c r="J67" s="17" t="n">
        <v>15.9</v>
      </c>
      <c r="K67" s="14" t="s">
        <v>93</v>
      </c>
      <c r="L67" s="20" t="n">
        <v>12.9</v>
      </c>
      <c r="M67" s="18" t="n">
        <f aca="false">IFERROR(L67*(1-Premissas!$B$5)*(1-Premissas!$B$6)-H67-Premissas!$B$7,"")</f>
        <v>8.71599166666667</v>
      </c>
      <c r="N67" s="21" t="n">
        <f aca="false">IFERROR(M67/L67,"")</f>
        <v>0.67565826873385</v>
      </c>
      <c r="O67" s="18" t="n">
        <f aca="false">IFERROR(L67*(1-Premissas!$B$8)-Premissas!$B$9-H67-Premissas!$B$7,"")</f>
        <v>1.68554166666667</v>
      </c>
      <c r="P67" s="18" t="n">
        <f aca="false">IFERROR(L67*(1-Premissas!$B$10)-Premissas!$B$11-H67-Premissas!$B$7,"")</f>
        <v>2.90354166666667</v>
      </c>
      <c r="Q67" s="18" t="n">
        <f aca="false">IFERROR(M67*F67,"")</f>
        <v>418.3676</v>
      </c>
      <c r="R67" s="22" t="n">
        <f aca="false">IFERROR(IF(M67&gt;0,ROUNDUP(Premissas!$B$12/M67,0),"sem lucro"),"")</f>
        <v>115</v>
      </c>
      <c r="S67" s="15" t="s">
        <v>65</v>
      </c>
      <c r="T67" s="23" t="s">
        <v>66</v>
      </c>
      <c r="U67" s="15" t="s">
        <v>270</v>
      </c>
      <c r="V67" s="18" t="n">
        <f aca="false">IF(AND(T67="S",ISNUMBER(L67),ISNUMBER(F67)),L67*F67*X67,0)</f>
        <v>619.2</v>
      </c>
      <c r="W67" s="18" t="n">
        <f aca="false">IF(AND(T67="S",ISNUMBER(Q67)),Q67*X67,0)</f>
        <v>418.3676</v>
      </c>
      <c r="X67" s="23" t="n">
        <v>1</v>
      </c>
      <c r="Y67" s="18" t="n">
        <f aca="false">IF(AND(T67="S",ISNUMBER(G67)),G67*X67,0)</f>
        <v>115.99</v>
      </c>
    </row>
    <row r="68" customFormat="false" ht="15" hidden="false" customHeight="false" outlineLevel="0" collapsed="false">
      <c r="A68" s="14" t="s">
        <v>271</v>
      </c>
      <c r="B68" s="15" t="s">
        <v>272</v>
      </c>
      <c r="C68" s="14" t="s">
        <v>207</v>
      </c>
      <c r="D68" s="14" t="s">
        <v>157</v>
      </c>
      <c r="E68" s="14" t="n">
        <v>5</v>
      </c>
      <c r="F68" s="16" t="n">
        <v>24</v>
      </c>
      <c r="G68" s="17" t="n">
        <v>158.8</v>
      </c>
      <c r="H68" s="18" t="n">
        <f aca="false">IF(ISNUMBER(G68),IFERROR(G68/F68,""),"")</f>
        <v>6.61666666666667</v>
      </c>
      <c r="I68" s="17" t="n">
        <v>12.9</v>
      </c>
      <c r="J68" s="17" t="n">
        <v>12.9</v>
      </c>
      <c r="K68" s="19" t="s">
        <v>64</v>
      </c>
      <c r="L68" s="20" t="n">
        <v>12.9</v>
      </c>
      <c r="M68" s="18" t="n">
        <f aca="false">IFERROR(L68*(1-Premissas!$B$5)*(1-Premissas!$B$6)-H68-Premissas!$B$7,"")</f>
        <v>4.51578333333333</v>
      </c>
      <c r="N68" s="21" t="n">
        <f aca="false">IFERROR(M68/L68,"")</f>
        <v>0.350060723514212</v>
      </c>
      <c r="O68" s="18" t="n">
        <f aca="false">IFERROR(L68*(1-Premissas!$B$8)-Premissas!$B$9-H68-Premissas!$B$7,"")</f>
        <v>-2.51466666666667</v>
      </c>
      <c r="P68" s="18" t="n">
        <f aca="false">IFERROR(L68*(1-Premissas!$B$10)-Premissas!$B$11-H68-Premissas!$B$7,"")</f>
        <v>-1.29666666666667</v>
      </c>
      <c r="Q68" s="18" t="n">
        <f aca="false">IFERROR(M68*F68,"")</f>
        <v>108.3788</v>
      </c>
      <c r="R68" s="22" t="n">
        <f aca="false">IFERROR(IF(M68&gt;0,ROUNDUP(Premissas!$B$12/M68,0),"sem lucro"),"")</f>
        <v>222</v>
      </c>
      <c r="S68" s="15" t="s">
        <v>266</v>
      </c>
      <c r="T68" s="23" t="s">
        <v>76</v>
      </c>
      <c r="U68" s="15" t="s">
        <v>267</v>
      </c>
      <c r="V68" s="18" t="n">
        <f aca="false">IF(AND(T68="S",ISNUMBER(L68),ISNUMBER(F68)),L68*F68*X68,0)</f>
        <v>0</v>
      </c>
      <c r="W68" s="18" t="n">
        <f aca="false">IF(AND(T68="S",ISNUMBER(Q68)),Q68*X68,0)</f>
        <v>0</v>
      </c>
      <c r="X68" s="23" t="n">
        <v>1</v>
      </c>
      <c r="Y68" s="18" t="n">
        <f aca="false">IF(AND(T68="S",ISNUMBER(G68)),G68*X68,0)</f>
        <v>0</v>
      </c>
    </row>
    <row r="69" customFormat="false" ht="15" hidden="false" customHeight="false" outlineLevel="0" collapsed="false">
      <c r="A69" s="14" t="s">
        <v>273</v>
      </c>
      <c r="B69" s="15" t="s">
        <v>274</v>
      </c>
      <c r="C69" s="14" t="s">
        <v>207</v>
      </c>
      <c r="D69" s="14" t="s">
        <v>117</v>
      </c>
      <c r="E69" s="14" t="n">
        <v>5</v>
      </c>
      <c r="F69" s="16" t="n">
        <v>24</v>
      </c>
      <c r="G69" s="17" t="n">
        <v>161.7</v>
      </c>
      <c r="H69" s="18" t="n">
        <f aca="false">IF(ISNUMBER(G69),IFERROR(G69/F69,""),"")</f>
        <v>6.7375</v>
      </c>
      <c r="I69" s="17" t="n">
        <v>12.9</v>
      </c>
      <c r="J69" s="17" t="n">
        <v>12.9</v>
      </c>
      <c r="K69" s="19" t="s">
        <v>64</v>
      </c>
      <c r="L69" s="20" t="n">
        <v>12.9</v>
      </c>
      <c r="M69" s="18" t="n">
        <f aca="false">IFERROR(L69*(1-Premissas!$B$5)*(1-Premissas!$B$6)-H69-Premissas!$B$7,"")</f>
        <v>4.39495</v>
      </c>
      <c r="N69" s="21" t="n">
        <f aca="false">IFERROR(M69/L69,"")</f>
        <v>0.340693798449612</v>
      </c>
      <c r="O69" s="18" t="n">
        <f aca="false">IFERROR(L69*(1-Premissas!$B$8)-Premissas!$B$9-H69-Premissas!$B$7,"")</f>
        <v>-2.6355</v>
      </c>
      <c r="P69" s="18" t="n">
        <f aca="false">IFERROR(L69*(1-Premissas!$B$10)-Premissas!$B$11-H69-Premissas!$B$7,"")</f>
        <v>-1.4175</v>
      </c>
      <c r="Q69" s="18" t="n">
        <f aca="false">IFERROR(M69*F69,"")</f>
        <v>105.4788</v>
      </c>
      <c r="R69" s="22" t="n">
        <f aca="false">IFERROR(IF(M69&gt;0,ROUNDUP(Premissas!$B$12/M69,0),"sem lucro"),"")</f>
        <v>228</v>
      </c>
      <c r="S69" s="15" t="s">
        <v>252</v>
      </c>
      <c r="T69" s="23" t="s">
        <v>76</v>
      </c>
      <c r="U69" s="15"/>
      <c r="V69" s="18" t="n">
        <f aca="false">IF(AND(T69="S",ISNUMBER(L69),ISNUMBER(F69)),L69*F69*X69,0)</f>
        <v>0</v>
      </c>
      <c r="W69" s="18" t="n">
        <f aca="false">IF(AND(T69="S",ISNUMBER(Q69)),Q69*X69,0)</f>
        <v>0</v>
      </c>
      <c r="X69" s="23" t="n">
        <v>1</v>
      </c>
      <c r="Y69" s="18" t="n">
        <f aca="false">IF(AND(T69="S",ISNUMBER(G69)),G69*X69,0)</f>
        <v>0</v>
      </c>
    </row>
    <row r="70" customFormat="false" ht="15" hidden="false" customHeight="false" outlineLevel="0" collapsed="false">
      <c r="A70" s="14" t="s">
        <v>275</v>
      </c>
      <c r="B70" s="15" t="s">
        <v>276</v>
      </c>
      <c r="C70" s="14" t="s">
        <v>207</v>
      </c>
      <c r="D70" s="14" t="s">
        <v>63</v>
      </c>
      <c r="E70" s="14" t="n">
        <v>5</v>
      </c>
      <c r="F70" s="16" t="n">
        <v>24</v>
      </c>
      <c r="G70" s="17" t="n">
        <v>158.8</v>
      </c>
      <c r="H70" s="18" t="n">
        <f aca="false">IF(ISNUMBER(G70),IFERROR(G70/F70,""),"")</f>
        <v>6.61666666666667</v>
      </c>
      <c r="I70" s="17" t="n">
        <v>19.9</v>
      </c>
      <c r="J70" s="17" t="n">
        <v>21.7</v>
      </c>
      <c r="K70" s="14" t="s">
        <v>93</v>
      </c>
      <c r="L70" s="20" t="n">
        <v>17.9</v>
      </c>
      <c r="M70" s="18" t="n">
        <f aca="false">IFERROR(L70*(1-Premissas!$B$5)*(1-Premissas!$B$6)-H70-Premissas!$B$7,"")</f>
        <v>9.21828333333333</v>
      </c>
      <c r="N70" s="21" t="n">
        <f aca="false">IFERROR(M70/L70,"")</f>
        <v>0.514987895716946</v>
      </c>
      <c r="O70" s="18" t="n">
        <f aca="false">IFERROR(L70*(1-Premissas!$B$8)-Premissas!$B$9-H70-Premissas!$B$7,"")</f>
        <v>1.88533333333333</v>
      </c>
      <c r="P70" s="18" t="n">
        <f aca="false">IFERROR(L70*(1-Premissas!$B$10)-Premissas!$B$11-H70-Premissas!$B$7,"")</f>
        <v>2.70333333333333</v>
      </c>
      <c r="Q70" s="18" t="n">
        <f aca="false">IFERROR(M70*F70,"")</f>
        <v>221.2388</v>
      </c>
      <c r="R70" s="22" t="n">
        <f aca="false">IFERROR(IF(M70&gt;0,ROUNDUP(Premissas!$B$12/M70,0),"sem lucro"),"")</f>
        <v>109</v>
      </c>
      <c r="S70" s="15" t="s">
        <v>65</v>
      </c>
      <c r="T70" s="23" t="s">
        <v>66</v>
      </c>
      <c r="U70" s="15" t="s">
        <v>277</v>
      </c>
      <c r="V70" s="18" t="n">
        <f aca="false">IF(AND(T70="S",ISNUMBER(L70),ISNUMBER(F70)),L70*F70*X70,0)</f>
        <v>429.6</v>
      </c>
      <c r="W70" s="18" t="n">
        <f aca="false">IF(AND(T70="S",ISNUMBER(Q70)),Q70*X70,0)</f>
        <v>221.2388</v>
      </c>
      <c r="X70" s="23" t="n">
        <v>1</v>
      </c>
      <c r="Y70" s="18" t="n">
        <f aca="false">IF(AND(T70="S",ISNUMBER(G70)),G70*X70,0)</f>
        <v>158.8</v>
      </c>
    </row>
    <row r="71" customFormat="false" ht="15" hidden="false" customHeight="false" outlineLevel="0" collapsed="false">
      <c r="A71" s="14" t="s">
        <v>278</v>
      </c>
      <c r="B71" s="15" t="s">
        <v>279</v>
      </c>
      <c r="C71" s="14" t="s">
        <v>207</v>
      </c>
      <c r="D71" s="14" t="s">
        <v>125</v>
      </c>
      <c r="E71" s="14" t="n">
        <v>5</v>
      </c>
      <c r="F71" s="16" t="n">
        <v>24</v>
      </c>
      <c r="G71" s="17" t="n">
        <v>126.4</v>
      </c>
      <c r="H71" s="18" t="n">
        <f aca="false">IF(ISNUMBER(G71),IFERROR(G71/F71,""),"")</f>
        <v>5.26666666666667</v>
      </c>
      <c r="I71" s="17" t="n">
        <v>12.9</v>
      </c>
      <c r="J71" s="17" t="n">
        <v>12.9</v>
      </c>
      <c r="K71" s="19" t="s">
        <v>64</v>
      </c>
      <c r="L71" s="20" t="n">
        <v>12.9</v>
      </c>
      <c r="M71" s="18" t="n">
        <f aca="false">IFERROR(L71*(1-Premissas!$B$5)*(1-Premissas!$B$6)-H71-Premissas!$B$7,"")</f>
        <v>5.86578333333333</v>
      </c>
      <c r="N71" s="21" t="n">
        <f aca="false">IFERROR(M71/L71,"")</f>
        <v>0.454711886304909</v>
      </c>
      <c r="O71" s="18" t="n">
        <f aca="false">IFERROR(L71*(1-Premissas!$B$8)-Premissas!$B$9-H71-Premissas!$B$7,"")</f>
        <v>-1.16466666666667</v>
      </c>
      <c r="P71" s="18" t="n">
        <f aca="false">IFERROR(L71*(1-Premissas!$B$10)-Premissas!$B$11-H71-Premissas!$B$7,"")</f>
        <v>0.0533333333333337</v>
      </c>
      <c r="Q71" s="18" t="n">
        <f aca="false">IFERROR(M71*F71,"")</f>
        <v>140.7788</v>
      </c>
      <c r="R71" s="22" t="n">
        <f aca="false">IFERROR(IF(M71&gt;0,ROUNDUP(Premissas!$B$12/M71,0),"sem lucro"),"")</f>
        <v>171</v>
      </c>
      <c r="S71" s="15" t="s">
        <v>82</v>
      </c>
      <c r="T71" s="23" t="s">
        <v>76</v>
      </c>
      <c r="U71" s="15"/>
      <c r="V71" s="18" t="n">
        <f aca="false">IF(AND(T71="S",ISNUMBER(L71),ISNUMBER(F71)),L71*F71*X71,0)</f>
        <v>0</v>
      </c>
      <c r="W71" s="18" t="n">
        <f aca="false">IF(AND(T71="S",ISNUMBER(Q71)),Q71*X71,0)</f>
        <v>0</v>
      </c>
      <c r="X71" s="23" t="n">
        <v>1</v>
      </c>
      <c r="Y71" s="18" t="n">
        <f aca="false">IF(AND(T71="S",ISNUMBER(G71)),G71*X71,0)</f>
        <v>0</v>
      </c>
    </row>
    <row r="72" customFormat="false" ht="15" hidden="false" customHeight="false" outlineLevel="0" collapsed="false">
      <c r="A72" s="14" t="s">
        <v>280</v>
      </c>
      <c r="B72" s="15" t="s">
        <v>281</v>
      </c>
      <c r="C72" s="14" t="s">
        <v>207</v>
      </c>
      <c r="D72" s="14" t="s">
        <v>117</v>
      </c>
      <c r="E72" s="14" t="n">
        <v>5</v>
      </c>
      <c r="F72" s="16" t="n">
        <v>24</v>
      </c>
      <c r="G72" s="17" t="n">
        <v>148.8</v>
      </c>
      <c r="H72" s="18" t="n">
        <f aca="false">IF(ISNUMBER(G72),IFERROR(G72/F72,""),"")</f>
        <v>6.2</v>
      </c>
      <c r="I72" s="17" t="n">
        <v>10</v>
      </c>
      <c r="J72" s="17" t="n">
        <v>12.9</v>
      </c>
      <c r="K72" s="19" t="s">
        <v>64</v>
      </c>
      <c r="L72" s="20" t="n">
        <v>11.9</v>
      </c>
      <c r="M72" s="18" t="n">
        <f aca="false">IFERROR(L72*(1-Premissas!$B$5)*(1-Premissas!$B$6)-H72-Premissas!$B$7,"")</f>
        <v>3.99195</v>
      </c>
      <c r="N72" s="21" t="n">
        <f aca="false">IFERROR(M72/L72,"")</f>
        <v>0.335457983193277</v>
      </c>
      <c r="O72" s="18" t="n">
        <f aca="false">IFERROR(L72*(1-Premissas!$B$8)-Premissas!$B$9-H72-Premissas!$B$7,"")</f>
        <v>-2.978</v>
      </c>
      <c r="P72" s="18" t="n">
        <f aca="false">IFERROR(L72*(1-Premissas!$B$10)-Premissas!$B$11-H72-Premissas!$B$7,"")</f>
        <v>-1.68</v>
      </c>
      <c r="Q72" s="18" t="n">
        <f aca="false">IFERROR(M72*F72,"")</f>
        <v>95.8068</v>
      </c>
      <c r="R72" s="22" t="n">
        <f aca="false">IFERROR(IF(M72&gt;0,ROUNDUP(Premissas!$B$12/M72,0),"sem lucro"),"")</f>
        <v>251</v>
      </c>
      <c r="S72" s="15" t="s">
        <v>82</v>
      </c>
      <c r="T72" s="23" t="s">
        <v>76</v>
      </c>
      <c r="U72" s="15"/>
      <c r="V72" s="18" t="n">
        <f aca="false">IF(AND(T72="S",ISNUMBER(L72),ISNUMBER(F72)),L72*F72*X72,0)</f>
        <v>0</v>
      </c>
      <c r="W72" s="18" t="n">
        <f aca="false">IF(AND(T72="S",ISNUMBER(Q72)),Q72*X72,0)</f>
        <v>0</v>
      </c>
      <c r="X72" s="23" t="n">
        <v>1</v>
      </c>
      <c r="Y72" s="18" t="n">
        <f aca="false">IF(AND(T72="S",ISNUMBER(G72)),G72*X72,0)</f>
        <v>0</v>
      </c>
    </row>
    <row r="73" customFormat="false" ht="26.85" hidden="false" customHeight="false" outlineLevel="0" collapsed="false">
      <c r="A73" s="14" t="s">
        <v>282</v>
      </c>
      <c r="B73" s="15" t="s">
        <v>283</v>
      </c>
      <c r="C73" s="14" t="s">
        <v>207</v>
      </c>
      <c r="D73" s="14" t="s">
        <v>125</v>
      </c>
      <c r="E73" s="14" t="n">
        <v>5</v>
      </c>
      <c r="F73" s="16" t="n">
        <v>1</v>
      </c>
      <c r="G73" s="17" t="n">
        <v>6.8</v>
      </c>
      <c r="H73" s="18" t="n">
        <f aca="false">IF(ISNUMBER(G73),IFERROR(G73/F73,""),"")</f>
        <v>6.8</v>
      </c>
      <c r="I73" s="17" t="n">
        <v>11.99</v>
      </c>
      <c r="J73" s="17" t="n">
        <v>45.9</v>
      </c>
      <c r="K73" s="19" t="s">
        <v>64</v>
      </c>
      <c r="L73" s="20" t="n">
        <v>19.9</v>
      </c>
      <c r="M73" s="18" t="n">
        <f aca="false">IFERROR(L73*(1-Premissas!$B$5)*(1-Premissas!$B$6)-H73-Premissas!$B$7,"")</f>
        <v>10.91595</v>
      </c>
      <c r="N73" s="21" t="n">
        <f aca="false">IFERROR(M73/L73,"")</f>
        <v>0.548540201005025</v>
      </c>
      <c r="O73" s="18" t="n">
        <f aca="false">IFERROR(L73*(1-Premissas!$B$8)-Premissas!$B$9-H73-Premissas!$B$7,"")</f>
        <v>3.462</v>
      </c>
      <c r="P73" s="18" t="n">
        <f aca="false">IFERROR(L73*(1-Premissas!$B$10)-Premissas!$B$11-H73-Premissas!$B$7,"")</f>
        <v>4.12</v>
      </c>
      <c r="Q73" s="18" t="n">
        <f aca="false">IFERROR(M73*F73,"")</f>
        <v>10.91595</v>
      </c>
      <c r="R73" s="22" t="n">
        <f aca="false">IFERROR(IF(M73&gt;0,ROUNDUP(Premissas!$B$12/M73,0),"sem lucro"),"")</f>
        <v>92</v>
      </c>
      <c r="S73" s="15" t="s">
        <v>65</v>
      </c>
      <c r="T73" s="23" t="s">
        <v>66</v>
      </c>
      <c r="U73" s="15" t="s">
        <v>284</v>
      </c>
      <c r="V73" s="18" t="n">
        <f aca="false">IF(AND(T73="S",ISNUMBER(L73),ISNUMBER(F73)),L73*F73*X73,0)</f>
        <v>238.8</v>
      </c>
      <c r="W73" s="18" t="n">
        <f aca="false">IF(AND(T73="S",ISNUMBER(Q73)),Q73*X73,0)</f>
        <v>130.9914</v>
      </c>
      <c r="X73" s="23" t="n">
        <v>12</v>
      </c>
      <c r="Y73" s="18" t="n">
        <f aca="false">IF(AND(T73="S",ISNUMBER(G73)),G73*X73,0)</f>
        <v>81.6</v>
      </c>
    </row>
    <row r="74" customFormat="false" ht="15" hidden="false" customHeight="false" outlineLevel="0" collapsed="false">
      <c r="A74" s="14" t="s">
        <v>285</v>
      </c>
      <c r="B74" s="15" t="s">
        <v>286</v>
      </c>
      <c r="C74" s="14" t="s">
        <v>207</v>
      </c>
      <c r="D74" s="14" t="s">
        <v>63</v>
      </c>
      <c r="E74" s="14" t="n">
        <v>6</v>
      </c>
      <c r="F74" s="16" t="n">
        <v>24</v>
      </c>
      <c r="G74" s="17" t="n">
        <v>93.99</v>
      </c>
      <c r="H74" s="18" t="n">
        <f aca="false">IF(ISNUMBER(G74),IFERROR(G74/F74,""),"")</f>
        <v>3.91625</v>
      </c>
      <c r="I74" s="17" t="n">
        <v>12.9</v>
      </c>
      <c r="J74" s="17" t="n">
        <v>12.9</v>
      </c>
      <c r="K74" s="19" t="s">
        <v>64</v>
      </c>
      <c r="L74" s="20" t="n">
        <v>12.9</v>
      </c>
      <c r="M74" s="18" t="n">
        <f aca="false">IFERROR(L74*(1-Premissas!$B$5)*(1-Premissas!$B$6)-H74-Premissas!$B$7,"")</f>
        <v>7.2162</v>
      </c>
      <c r="N74" s="21" t="n">
        <f aca="false">IFERROR(M74/L74,"")</f>
        <v>0.559395348837209</v>
      </c>
      <c r="O74" s="18" t="n">
        <f aca="false">IFERROR(L74*(1-Premissas!$B$8)-Premissas!$B$9-H74-Premissas!$B$7,"")</f>
        <v>0.185750000000001</v>
      </c>
      <c r="P74" s="18" t="n">
        <f aca="false">IFERROR(L74*(1-Premissas!$B$10)-Premissas!$B$11-H74-Premissas!$B$7,"")</f>
        <v>1.40375</v>
      </c>
      <c r="Q74" s="18" t="n">
        <f aca="false">IFERROR(M74*F74,"")</f>
        <v>173.1888</v>
      </c>
      <c r="R74" s="22" t="n">
        <f aca="false">IFERROR(IF(M74&gt;0,ROUNDUP(Premissas!$B$12/M74,0),"sem lucro"),"")</f>
        <v>139</v>
      </c>
      <c r="S74" s="15" t="s">
        <v>287</v>
      </c>
      <c r="T74" s="23" t="s">
        <v>66</v>
      </c>
      <c r="U74" s="15" t="s">
        <v>288</v>
      </c>
      <c r="V74" s="18" t="n">
        <f aca="false">IF(AND(T74="S",ISNUMBER(L74),ISNUMBER(F74)),L74*F74*X74,0)</f>
        <v>309.6</v>
      </c>
      <c r="W74" s="18" t="n">
        <f aca="false">IF(AND(T74="S",ISNUMBER(Q74)),Q74*X74,0)</f>
        <v>173.1888</v>
      </c>
      <c r="X74" s="23" t="n">
        <v>1</v>
      </c>
      <c r="Y74" s="18" t="n">
        <f aca="false">IF(AND(T74="S",ISNUMBER(G74)),G74*X74,0)</f>
        <v>93.99</v>
      </c>
    </row>
    <row r="75" customFormat="false" ht="15" hidden="false" customHeight="false" outlineLevel="0" collapsed="false">
      <c r="A75" s="14" t="s">
        <v>289</v>
      </c>
      <c r="B75" s="15" t="s">
        <v>290</v>
      </c>
      <c r="C75" s="14" t="s">
        <v>291</v>
      </c>
      <c r="D75" s="14" t="s">
        <v>125</v>
      </c>
      <c r="E75" s="14" t="n">
        <v>6</v>
      </c>
      <c r="F75" s="16" t="n">
        <v>24</v>
      </c>
      <c r="G75" s="17" t="n">
        <v>142.9</v>
      </c>
      <c r="H75" s="18" t="n">
        <f aca="false">IF(ISNUMBER(G75),IFERROR(G75/F75,""),"")</f>
        <v>5.95416666666667</v>
      </c>
      <c r="I75" s="17" t="n">
        <v>10</v>
      </c>
      <c r="J75" s="17" t="n">
        <v>12.9</v>
      </c>
      <c r="K75" s="19" t="s">
        <v>64</v>
      </c>
      <c r="L75" s="20" t="n">
        <v>11.9</v>
      </c>
      <c r="M75" s="18" t="n">
        <f aca="false">IFERROR(L75*(1-Premissas!$B$5)*(1-Premissas!$B$6)-H75-Premissas!$B$7,"")</f>
        <v>4.23778333333333</v>
      </c>
      <c r="N75" s="21" t="n">
        <f aca="false">IFERROR(M75/L75,"")</f>
        <v>0.356116246498599</v>
      </c>
      <c r="O75" s="18" t="n">
        <f aca="false">IFERROR(L75*(1-Premissas!$B$8)-Premissas!$B$9-H75-Premissas!$B$7,"")</f>
        <v>-2.73216666666667</v>
      </c>
      <c r="P75" s="18" t="n">
        <f aca="false">IFERROR(L75*(1-Premissas!$B$10)-Premissas!$B$11-H75-Premissas!$B$7,"")</f>
        <v>-1.43416666666667</v>
      </c>
      <c r="Q75" s="18" t="n">
        <f aca="false">IFERROR(M75*F75,"")</f>
        <v>101.7068</v>
      </c>
      <c r="R75" s="22" t="n">
        <f aca="false">IFERROR(IF(M75&gt;0,ROUNDUP(Premissas!$B$12/M75,0),"sem lucro"),"")</f>
        <v>236</v>
      </c>
      <c r="S75" s="15" t="s">
        <v>266</v>
      </c>
      <c r="T75" s="23" t="s">
        <v>76</v>
      </c>
      <c r="U75" s="15" t="s">
        <v>267</v>
      </c>
      <c r="V75" s="18" t="n">
        <f aca="false">IF(AND(T75="S",ISNUMBER(L75),ISNUMBER(F75)),L75*F75*X75,0)</f>
        <v>0</v>
      </c>
      <c r="W75" s="18" t="n">
        <f aca="false">IF(AND(T75="S",ISNUMBER(Q75)),Q75*X75,0)</f>
        <v>0</v>
      </c>
      <c r="X75" s="23" t="n">
        <v>1</v>
      </c>
      <c r="Y75" s="18" t="n">
        <f aca="false">IF(AND(T75="S",ISNUMBER(G75)),G75*X75,0)</f>
        <v>0</v>
      </c>
    </row>
    <row r="76" customFormat="false" ht="15" hidden="false" customHeight="false" outlineLevel="0" collapsed="false">
      <c r="A76" s="14" t="s">
        <v>292</v>
      </c>
      <c r="B76" s="15" t="s">
        <v>293</v>
      </c>
      <c r="C76" s="14" t="s">
        <v>291</v>
      </c>
      <c r="D76" s="14" t="s">
        <v>117</v>
      </c>
      <c r="E76" s="14" t="n">
        <v>6</v>
      </c>
      <c r="F76" s="16" t="n">
        <v>24</v>
      </c>
      <c r="G76" s="17" t="n">
        <v>142.9</v>
      </c>
      <c r="H76" s="18" t="n">
        <f aca="false">IF(ISNUMBER(G76),IFERROR(G76/F76,""),"")</f>
        <v>5.95416666666667</v>
      </c>
      <c r="I76" s="17" t="n">
        <v>10</v>
      </c>
      <c r="J76" s="17" t="n">
        <v>12.9</v>
      </c>
      <c r="K76" s="19" t="s">
        <v>64</v>
      </c>
      <c r="L76" s="20" t="n">
        <v>11.9</v>
      </c>
      <c r="M76" s="18" t="n">
        <f aca="false">IFERROR(L76*(1-Premissas!$B$5)*(1-Premissas!$B$6)-H76-Premissas!$B$7,"")</f>
        <v>4.23778333333333</v>
      </c>
      <c r="N76" s="21" t="n">
        <f aca="false">IFERROR(M76/L76,"")</f>
        <v>0.356116246498599</v>
      </c>
      <c r="O76" s="18" t="n">
        <f aca="false">IFERROR(L76*(1-Premissas!$B$8)-Premissas!$B$9-H76-Premissas!$B$7,"")</f>
        <v>-2.73216666666667</v>
      </c>
      <c r="P76" s="18" t="n">
        <f aca="false">IFERROR(L76*(1-Premissas!$B$10)-Premissas!$B$11-H76-Premissas!$B$7,"")</f>
        <v>-1.43416666666667</v>
      </c>
      <c r="Q76" s="18" t="n">
        <f aca="false">IFERROR(M76*F76,"")</f>
        <v>101.7068</v>
      </c>
      <c r="R76" s="22" t="n">
        <f aca="false">IFERROR(IF(M76&gt;0,ROUNDUP(Premissas!$B$12/M76,0),"sem lucro"),"")</f>
        <v>236</v>
      </c>
      <c r="S76" s="15" t="s">
        <v>294</v>
      </c>
      <c r="T76" s="23" t="s">
        <v>76</v>
      </c>
      <c r="U76" s="15"/>
      <c r="V76" s="18" t="n">
        <f aca="false">IF(AND(T76="S",ISNUMBER(L76),ISNUMBER(F76)),L76*F76*X76,0)</f>
        <v>0</v>
      </c>
      <c r="W76" s="18" t="n">
        <f aca="false">IF(AND(T76="S",ISNUMBER(Q76)),Q76*X76,0)</f>
        <v>0</v>
      </c>
      <c r="X76" s="23" t="n">
        <v>1</v>
      </c>
      <c r="Y76" s="18" t="n">
        <f aca="false">IF(AND(T76="S",ISNUMBER(G76)),G76*X76,0)</f>
        <v>0</v>
      </c>
    </row>
    <row r="77" customFormat="false" ht="15" hidden="false" customHeight="false" outlineLevel="0" collapsed="false">
      <c r="A77" s="14" t="s">
        <v>295</v>
      </c>
      <c r="B77" s="15" t="s">
        <v>296</v>
      </c>
      <c r="C77" s="14" t="s">
        <v>291</v>
      </c>
      <c r="D77" s="14" t="s">
        <v>117</v>
      </c>
      <c r="E77" s="14" t="n">
        <v>6</v>
      </c>
      <c r="F77" s="16" t="n">
        <v>24</v>
      </c>
      <c r="G77" s="17" t="n">
        <v>142.9</v>
      </c>
      <c r="H77" s="18" t="n">
        <f aca="false">IF(ISNUMBER(G77),IFERROR(G77/F77,""),"")</f>
        <v>5.95416666666667</v>
      </c>
      <c r="I77" s="17" t="n">
        <v>10</v>
      </c>
      <c r="J77" s="17" t="n">
        <v>12.9</v>
      </c>
      <c r="K77" s="19" t="s">
        <v>64</v>
      </c>
      <c r="L77" s="20" t="n">
        <v>11.9</v>
      </c>
      <c r="M77" s="18" t="n">
        <f aca="false">IFERROR(L77*(1-Premissas!$B$5)*(1-Premissas!$B$6)-H77-Premissas!$B$7,"")</f>
        <v>4.23778333333333</v>
      </c>
      <c r="N77" s="21" t="n">
        <f aca="false">IFERROR(M77/L77,"")</f>
        <v>0.356116246498599</v>
      </c>
      <c r="O77" s="18" t="n">
        <f aca="false">IFERROR(L77*(1-Premissas!$B$8)-Premissas!$B$9-H77-Premissas!$B$7,"")</f>
        <v>-2.73216666666667</v>
      </c>
      <c r="P77" s="18" t="n">
        <f aca="false">IFERROR(L77*(1-Premissas!$B$10)-Premissas!$B$11-H77-Premissas!$B$7,"")</f>
        <v>-1.43416666666667</v>
      </c>
      <c r="Q77" s="18" t="n">
        <f aca="false">IFERROR(M77*F77,"")</f>
        <v>101.7068</v>
      </c>
      <c r="R77" s="22" t="n">
        <f aca="false">IFERROR(IF(M77&gt;0,ROUNDUP(Premissas!$B$12/M77,0),"sem lucro"),"")</f>
        <v>236</v>
      </c>
      <c r="S77" s="15" t="s">
        <v>252</v>
      </c>
      <c r="T77" s="23" t="s">
        <v>76</v>
      </c>
      <c r="U77" s="15"/>
      <c r="V77" s="18" t="n">
        <f aca="false">IF(AND(T77="S",ISNUMBER(L77),ISNUMBER(F77)),L77*F77*X77,0)</f>
        <v>0</v>
      </c>
      <c r="W77" s="18" t="n">
        <f aca="false">IF(AND(T77="S",ISNUMBER(Q77)),Q77*X77,0)</f>
        <v>0</v>
      </c>
      <c r="X77" s="23" t="n">
        <v>1</v>
      </c>
      <c r="Y77" s="18" t="n">
        <f aca="false">IF(AND(T77="S",ISNUMBER(G77)),G77*X77,0)</f>
        <v>0</v>
      </c>
    </row>
    <row r="78" customFormat="false" ht="15" hidden="false" customHeight="false" outlineLevel="0" collapsed="false">
      <c r="A78" s="14" t="s">
        <v>297</v>
      </c>
      <c r="B78" s="15" t="s">
        <v>298</v>
      </c>
      <c r="C78" s="14" t="s">
        <v>291</v>
      </c>
      <c r="D78" s="14" t="s">
        <v>117</v>
      </c>
      <c r="E78" s="14" t="n">
        <v>6</v>
      </c>
      <c r="F78" s="16" t="n">
        <v>24</v>
      </c>
      <c r="G78" s="17" t="n">
        <v>131.3</v>
      </c>
      <c r="H78" s="18" t="n">
        <f aca="false">IF(ISNUMBER(G78),IFERROR(G78/F78,""),"")</f>
        <v>5.47083333333333</v>
      </c>
      <c r="I78" s="17" t="n">
        <v>10</v>
      </c>
      <c r="J78" s="17" t="n">
        <v>10</v>
      </c>
      <c r="K78" s="14" t="s">
        <v>93</v>
      </c>
      <c r="L78" s="20" t="n">
        <v>11.9</v>
      </c>
      <c r="M78" s="18" t="n">
        <f aca="false">IFERROR(L78*(1-Premissas!$B$5)*(1-Premissas!$B$6)-H78-Premissas!$B$7,"")</f>
        <v>4.72111666666667</v>
      </c>
      <c r="N78" s="21" t="n">
        <f aca="false">IFERROR(M78/L78,"")</f>
        <v>0.396732492997199</v>
      </c>
      <c r="O78" s="18" t="n">
        <f aca="false">IFERROR(L78*(1-Premissas!$B$8)-Premissas!$B$9-H78-Premissas!$B$7,"")</f>
        <v>-2.24883333333333</v>
      </c>
      <c r="P78" s="18" t="n">
        <f aca="false">IFERROR(L78*(1-Premissas!$B$10)-Premissas!$B$11-H78-Premissas!$B$7,"")</f>
        <v>-0.950833333333333</v>
      </c>
      <c r="Q78" s="18" t="n">
        <f aca="false">IFERROR(M78*F78,"")</f>
        <v>113.3068</v>
      </c>
      <c r="R78" s="22" t="n">
        <f aca="false">IFERROR(IF(M78&gt;0,ROUNDUP(Premissas!$B$12/M78,0),"sem lucro"),"")</f>
        <v>212</v>
      </c>
      <c r="S78" s="15" t="s">
        <v>82</v>
      </c>
      <c r="T78" s="23" t="s">
        <v>76</v>
      </c>
      <c r="U78" s="15" t="s">
        <v>299</v>
      </c>
      <c r="V78" s="18" t="n">
        <f aca="false">IF(AND(T78="S",ISNUMBER(L78),ISNUMBER(F78)),L78*F78*X78,0)</f>
        <v>0</v>
      </c>
      <c r="W78" s="18" t="n">
        <f aca="false">IF(AND(T78="S",ISNUMBER(Q78)),Q78*X78,0)</f>
        <v>0</v>
      </c>
      <c r="X78" s="23" t="n">
        <v>1</v>
      </c>
      <c r="Y78" s="18" t="n">
        <f aca="false">IF(AND(T78="S",ISNUMBER(G78)),G78*X78,0)</f>
        <v>0</v>
      </c>
    </row>
    <row r="79" customFormat="false" ht="15" hidden="false" customHeight="false" outlineLevel="0" collapsed="false">
      <c r="A79" s="14" t="s">
        <v>300</v>
      </c>
      <c r="B79" s="15" t="s">
        <v>301</v>
      </c>
      <c r="C79" s="14" t="s">
        <v>291</v>
      </c>
      <c r="D79" s="14" t="s">
        <v>125</v>
      </c>
      <c r="E79" s="14" t="n">
        <v>6</v>
      </c>
      <c r="F79" s="16" t="n">
        <v>24</v>
      </c>
      <c r="G79" s="17" t="n">
        <v>113.8</v>
      </c>
      <c r="H79" s="18" t="n">
        <f aca="false">IF(ISNUMBER(G79),IFERROR(G79/F79,""),"")</f>
        <v>4.74166666666667</v>
      </c>
      <c r="I79" s="17" t="n">
        <v>10</v>
      </c>
      <c r="J79" s="17" t="n">
        <v>12.9</v>
      </c>
      <c r="K79" s="19" t="s">
        <v>64</v>
      </c>
      <c r="L79" s="20" t="n">
        <v>11.9</v>
      </c>
      <c r="M79" s="18" t="n">
        <f aca="false">IFERROR(L79*(1-Premissas!$B$5)*(1-Premissas!$B$6)-H79-Premissas!$B$7,"")</f>
        <v>5.45028333333333</v>
      </c>
      <c r="N79" s="21" t="n">
        <f aca="false">IFERROR(M79/L79,"")</f>
        <v>0.458007002801121</v>
      </c>
      <c r="O79" s="18" t="n">
        <f aca="false">IFERROR(L79*(1-Premissas!$B$8)-Premissas!$B$9-H79-Premissas!$B$7,"")</f>
        <v>-1.51966666666667</v>
      </c>
      <c r="P79" s="18" t="n">
        <f aca="false">IFERROR(L79*(1-Premissas!$B$10)-Premissas!$B$11-H79-Premissas!$B$7,"")</f>
        <v>-0.221666666666665</v>
      </c>
      <c r="Q79" s="18" t="n">
        <f aca="false">IFERROR(M79*F79,"")</f>
        <v>130.8068</v>
      </c>
      <c r="R79" s="22" t="n">
        <f aca="false">IFERROR(IF(M79&gt;0,ROUNDUP(Premissas!$B$12/M79,0),"sem lucro"),"")</f>
        <v>184</v>
      </c>
      <c r="S79" s="15" t="s">
        <v>82</v>
      </c>
      <c r="T79" s="23" t="s">
        <v>76</v>
      </c>
      <c r="U79" s="15"/>
      <c r="V79" s="18" t="n">
        <f aca="false">IF(AND(T79="S",ISNUMBER(L79),ISNUMBER(F79)),L79*F79*X79,0)</f>
        <v>0</v>
      </c>
      <c r="W79" s="18" t="n">
        <f aca="false">IF(AND(T79="S",ISNUMBER(Q79)),Q79*X79,0)</f>
        <v>0</v>
      </c>
      <c r="X79" s="23" t="n">
        <v>1</v>
      </c>
      <c r="Y79" s="18" t="n">
        <f aca="false">IF(AND(T79="S",ISNUMBER(G79)),G79*X79,0)</f>
        <v>0</v>
      </c>
    </row>
    <row r="80" customFormat="false" ht="15" hidden="false" customHeight="false" outlineLevel="0" collapsed="false">
      <c r="A80" s="14" t="s">
        <v>302</v>
      </c>
      <c r="B80" s="15" t="s">
        <v>303</v>
      </c>
      <c r="C80" s="14" t="s">
        <v>291</v>
      </c>
      <c r="D80" s="14" t="s">
        <v>125</v>
      </c>
      <c r="E80" s="14" t="n">
        <v>6</v>
      </c>
      <c r="F80" s="16" t="n">
        <v>24</v>
      </c>
      <c r="G80" s="17" t="n">
        <v>113.6</v>
      </c>
      <c r="H80" s="18" t="n">
        <f aca="false">IF(ISNUMBER(G80),IFERROR(G80/F80,""),"")</f>
        <v>4.73333333333333</v>
      </c>
      <c r="I80" s="17" t="n">
        <v>10</v>
      </c>
      <c r="J80" s="17" t="n">
        <v>12.9</v>
      </c>
      <c r="K80" s="19" t="s">
        <v>64</v>
      </c>
      <c r="L80" s="20" t="n">
        <v>12.9</v>
      </c>
      <c r="M80" s="18" t="n">
        <f aca="false">IFERROR(L80*(1-Premissas!$B$5)*(1-Premissas!$B$6)-H80-Premissas!$B$7,"")</f>
        <v>6.39911666666667</v>
      </c>
      <c r="N80" s="21" t="n">
        <f aca="false">IFERROR(M80/L80,"")</f>
        <v>0.496055555555555</v>
      </c>
      <c r="O80" s="18" t="n">
        <f aca="false">IFERROR(L80*(1-Premissas!$B$8)-Premissas!$B$9-H80-Premissas!$B$7,"")</f>
        <v>-0.631333333333333</v>
      </c>
      <c r="P80" s="18" t="n">
        <f aca="false">IFERROR(L80*(1-Premissas!$B$10)-Premissas!$B$11-H80-Premissas!$B$7,"")</f>
        <v>0.586666666666667</v>
      </c>
      <c r="Q80" s="18" t="n">
        <f aca="false">IFERROR(M80*F80,"")</f>
        <v>153.5788</v>
      </c>
      <c r="R80" s="22" t="n">
        <f aca="false">IFERROR(IF(M80&gt;0,ROUNDUP(Premissas!$B$12/M80,0),"sem lucro"),"")</f>
        <v>157</v>
      </c>
      <c r="S80" s="15" t="s">
        <v>82</v>
      </c>
      <c r="T80" s="23" t="s">
        <v>76</v>
      </c>
      <c r="U80" s="15" t="s">
        <v>304</v>
      </c>
      <c r="V80" s="18" t="n">
        <f aca="false">IF(AND(T80="S",ISNUMBER(L80),ISNUMBER(F80)),L80*F80*X80,0)</f>
        <v>0</v>
      </c>
      <c r="W80" s="18" t="n">
        <f aca="false">IF(AND(T80="S",ISNUMBER(Q80)),Q80*X80,0)</f>
        <v>0</v>
      </c>
      <c r="X80" s="23" t="n">
        <v>1</v>
      </c>
      <c r="Y80" s="18" t="n">
        <f aca="false">IF(AND(T80="S",ISNUMBER(G80)),G80*X80,0)</f>
        <v>0</v>
      </c>
    </row>
    <row r="81" customFormat="false" ht="15" hidden="false" customHeight="false" outlineLevel="0" collapsed="false">
      <c r="A81" s="14" t="s">
        <v>305</v>
      </c>
      <c r="B81" s="15" t="s">
        <v>306</v>
      </c>
      <c r="C81" s="14" t="s">
        <v>291</v>
      </c>
      <c r="D81" s="14" t="s">
        <v>63</v>
      </c>
      <c r="E81" s="14" t="n">
        <v>7</v>
      </c>
      <c r="F81" s="16" t="n">
        <v>24</v>
      </c>
      <c r="G81" s="17" t="n">
        <v>142.9</v>
      </c>
      <c r="H81" s="18" t="n">
        <f aca="false">IF(ISNUMBER(G81),IFERROR(G81/F81,""),"")</f>
        <v>5.95416666666667</v>
      </c>
      <c r="I81" s="17" t="n">
        <v>10</v>
      </c>
      <c r="J81" s="17" t="n">
        <v>12.9</v>
      </c>
      <c r="K81" s="19" t="s">
        <v>64</v>
      </c>
      <c r="L81" s="20" t="n">
        <v>11.9</v>
      </c>
      <c r="M81" s="18" t="n">
        <f aca="false">IFERROR(L81*(1-Premissas!$B$5)*(1-Premissas!$B$6)-H81-Premissas!$B$7,"")</f>
        <v>4.23778333333333</v>
      </c>
      <c r="N81" s="21" t="n">
        <f aca="false">IFERROR(M81/L81,"")</f>
        <v>0.356116246498599</v>
      </c>
      <c r="O81" s="18" t="n">
        <f aca="false">IFERROR(L81*(1-Premissas!$B$8)-Premissas!$B$9-H81-Premissas!$B$7,"")</f>
        <v>-2.73216666666667</v>
      </c>
      <c r="P81" s="18" t="n">
        <f aca="false">IFERROR(L81*(1-Premissas!$B$10)-Premissas!$B$11-H81-Premissas!$B$7,"")</f>
        <v>-1.43416666666667</v>
      </c>
      <c r="Q81" s="18" t="n">
        <f aca="false">IFERROR(M81*F81,"")</f>
        <v>101.7068</v>
      </c>
      <c r="R81" s="22" t="n">
        <f aca="false">IFERROR(IF(M81&gt;0,ROUNDUP(Premissas!$B$12/M81,0),"sem lucro"),"")</f>
        <v>236</v>
      </c>
      <c r="S81" s="15" t="s">
        <v>307</v>
      </c>
      <c r="T81" s="23" t="s">
        <v>76</v>
      </c>
      <c r="U81" s="15" t="s">
        <v>267</v>
      </c>
      <c r="V81" s="18" t="n">
        <f aca="false">IF(AND(T81="S",ISNUMBER(L81),ISNUMBER(F81)),L81*F81*X81,0)</f>
        <v>0</v>
      </c>
      <c r="W81" s="18" t="n">
        <f aca="false">IF(AND(T81="S",ISNUMBER(Q81)),Q81*X81,0)</f>
        <v>0</v>
      </c>
      <c r="X81" s="23" t="n">
        <v>1</v>
      </c>
      <c r="Y81" s="18" t="n">
        <f aca="false">IF(AND(T81="S",ISNUMBER(G81)),G81*X81,0)</f>
        <v>0</v>
      </c>
    </row>
    <row r="82" customFormat="false" ht="15" hidden="false" customHeight="false" outlineLevel="0" collapsed="false">
      <c r="A82" s="14" t="s">
        <v>308</v>
      </c>
      <c r="B82" s="15" t="s">
        <v>309</v>
      </c>
      <c r="C82" s="14" t="s">
        <v>291</v>
      </c>
      <c r="D82" s="14" t="s">
        <v>117</v>
      </c>
      <c r="E82" s="14" t="n">
        <v>7</v>
      </c>
      <c r="F82" s="16" t="n">
        <v>24</v>
      </c>
      <c r="G82" s="17" t="n">
        <v>150.2</v>
      </c>
      <c r="H82" s="18" t="n">
        <f aca="false">IF(ISNUMBER(G82),IFERROR(G82/F82,""),"")</f>
        <v>6.25833333333333</v>
      </c>
      <c r="I82" s="17" t="n">
        <v>10</v>
      </c>
      <c r="J82" s="17" t="n">
        <v>12.9</v>
      </c>
      <c r="K82" s="19" t="s">
        <v>64</v>
      </c>
      <c r="L82" s="20" t="n">
        <v>11.9</v>
      </c>
      <c r="M82" s="18" t="n">
        <f aca="false">IFERROR(L82*(1-Premissas!$B$5)*(1-Premissas!$B$6)-H82-Premissas!$B$7,"")</f>
        <v>3.93361666666667</v>
      </c>
      <c r="N82" s="21" t="n">
        <f aca="false">IFERROR(M82/L82,"")</f>
        <v>0.330556022408964</v>
      </c>
      <c r="O82" s="18" t="n">
        <f aca="false">IFERROR(L82*(1-Premissas!$B$8)-Premissas!$B$9-H82-Premissas!$B$7,"")</f>
        <v>-3.03633333333333</v>
      </c>
      <c r="P82" s="18" t="n">
        <f aca="false">IFERROR(L82*(1-Premissas!$B$10)-Premissas!$B$11-H82-Premissas!$B$7,"")</f>
        <v>-1.73833333333333</v>
      </c>
      <c r="Q82" s="18" t="n">
        <f aca="false">IFERROR(M82*F82,"")</f>
        <v>94.4068</v>
      </c>
      <c r="R82" s="22" t="n">
        <f aca="false">IFERROR(IF(M82&gt;0,ROUNDUP(Premissas!$B$12/M82,0),"sem lucro"),"")</f>
        <v>255</v>
      </c>
      <c r="S82" s="15" t="s">
        <v>252</v>
      </c>
      <c r="T82" s="23" t="s">
        <v>76</v>
      </c>
      <c r="U82" s="15"/>
      <c r="V82" s="18" t="n">
        <f aca="false">IF(AND(T82="S",ISNUMBER(L82),ISNUMBER(F82)),L82*F82*X82,0)</f>
        <v>0</v>
      </c>
      <c r="W82" s="18" t="n">
        <f aca="false">IF(AND(T82="S",ISNUMBER(Q82)),Q82*X82,0)</f>
        <v>0</v>
      </c>
      <c r="X82" s="23" t="n">
        <v>1</v>
      </c>
      <c r="Y82" s="18" t="n">
        <f aca="false">IF(AND(T82="S",ISNUMBER(G82)),G82*X82,0)</f>
        <v>0</v>
      </c>
    </row>
    <row r="83" customFormat="false" ht="15" hidden="false" customHeight="false" outlineLevel="0" collapsed="false">
      <c r="A83" s="14" t="s">
        <v>310</v>
      </c>
      <c r="B83" s="15" t="s">
        <v>311</v>
      </c>
      <c r="C83" s="14" t="s">
        <v>291</v>
      </c>
      <c r="D83" s="14" t="s">
        <v>117</v>
      </c>
      <c r="E83" s="14" t="n">
        <v>7</v>
      </c>
      <c r="F83" s="16" t="n">
        <v>24</v>
      </c>
      <c r="G83" s="17" t="n">
        <v>142.9</v>
      </c>
      <c r="H83" s="18" t="n">
        <f aca="false">IF(ISNUMBER(G83),IFERROR(G83/F83,""),"")</f>
        <v>5.95416666666667</v>
      </c>
      <c r="I83" s="17" t="n">
        <v>10</v>
      </c>
      <c r="J83" s="17" t="n">
        <v>12.9</v>
      </c>
      <c r="K83" s="19" t="s">
        <v>64</v>
      </c>
      <c r="L83" s="20" t="n">
        <v>11.9</v>
      </c>
      <c r="M83" s="18" t="n">
        <f aca="false">IFERROR(L83*(1-Premissas!$B$5)*(1-Premissas!$B$6)-H83-Premissas!$B$7,"")</f>
        <v>4.23778333333333</v>
      </c>
      <c r="N83" s="21" t="n">
        <f aca="false">IFERROR(M83/L83,"")</f>
        <v>0.356116246498599</v>
      </c>
      <c r="O83" s="18" t="n">
        <f aca="false">IFERROR(L83*(1-Premissas!$B$8)-Premissas!$B$9-H83-Premissas!$B$7,"")</f>
        <v>-2.73216666666667</v>
      </c>
      <c r="P83" s="18" t="n">
        <f aca="false">IFERROR(L83*(1-Premissas!$B$10)-Premissas!$B$11-H83-Premissas!$B$7,"")</f>
        <v>-1.43416666666667</v>
      </c>
      <c r="Q83" s="18" t="n">
        <f aca="false">IFERROR(M83*F83,"")</f>
        <v>101.7068</v>
      </c>
      <c r="R83" s="22" t="n">
        <f aca="false">IFERROR(IF(M83&gt;0,ROUNDUP(Premissas!$B$12/M83,0),"sem lucro"),"")</f>
        <v>236</v>
      </c>
      <c r="S83" s="15" t="s">
        <v>252</v>
      </c>
      <c r="T83" s="23" t="s">
        <v>76</v>
      </c>
      <c r="U83" s="15"/>
      <c r="V83" s="18" t="n">
        <f aca="false">IF(AND(T83="S",ISNUMBER(L83),ISNUMBER(F83)),L83*F83*X83,0)</f>
        <v>0</v>
      </c>
      <c r="W83" s="18" t="n">
        <f aca="false">IF(AND(T83="S",ISNUMBER(Q83)),Q83*X83,0)</f>
        <v>0</v>
      </c>
      <c r="X83" s="23" t="n">
        <v>1</v>
      </c>
      <c r="Y83" s="18" t="n">
        <f aca="false">IF(AND(T83="S",ISNUMBER(G83)),G83*X83,0)</f>
        <v>0</v>
      </c>
    </row>
    <row r="84" customFormat="false" ht="15" hidden="false" customHeight="false" outlineLevel="0" collapsed="false">
      <c r="A84" s="14" t="s">
        <v>312</v>
      </c>
      <c r="B84" s="15" t="s">
        <v>313</v>
      </c>
      <c r="C84" s="14" t="s">
        <v>291</v>
      </c>
      <c r="D84" s="14" t="s">
        <v>117</v>
      </c>
      <c r="E84" s="14" t="n">
        <v>7</v>
      </c>
      <c r="F84" s="16" t="n">
        <v>24</v>
      </c>
      <c r="G84" s="17" t="n">
        <v>142.9</v>
      </c>
      <c r="H84" s="18" t="n">
        <f aca="false">IF(ISNUMBER(G84),IFERROR(G84/F84,""),"")</f>
        <v>5.95416666666667</v>
      </c>
      <c r="I84" s="17" t="n">
        <v>10</v>
      </c>
      <c r="J84" s="17" t="n">
        <v>12.9</v>
      </c>
      <c r="K84" s="19" t="s">
        <v>64</v>
      </c>
      <c r="L84" s="20" t="n">
        <v>11.9</v>
      </c>
      <c r="M84" s="18" t="n">
        <f aca="false">IFERROR(L84*(1-Premissas!$B$5)*(1-Premissas!$B$6)-H84-Premissas!$B$7,"")</f>
        <v>4.23778333333333</v>
      </c>
      <c r="N84" s="21" t="n">
        <f aca="false">IFERROR(M84/L84,"")</f>
        <v>0.356116246498599</v>
      </c>
      <c r="O84" s="18" t="n">
        <f aca="false">IFERROR(L84*(1-Premissas!$B$8)-Premissas!$B$9-H84-Premissas!$B$7,"")</f>
        <v>-2.73216666666667</v>
      </c>
      <c r="P84" s="18" t="n">
        <f aca="false">IFERROR(L84*(1-Premissas!$B$10)-Premissas!$B$11-H84-Premissas!$B$7,"")</f>
        <v>-1.43416666666667</v>
      </c>
      <c r="Q84" s="18" t="n">
        <f aca="false">IFERROR(M84*F84,"")</f>
        <v>101.7068</v>
      </c>
      <c r="R84" s="22" t="n">
        <f aca="false">IFERROR(IF(M84&gt;0,ROUNDUP(Premissas!$B$12/M84,0),"sem lucro"),"")</f>
        <v>236</v>
      </c>
      <c r="S84" s="15" t="s">
        <v>252</v>
      </c>
      <c r="T84" s="23" t="s">
        <v>76</v>
      </c>
      <c r="U84" s="15"/>
      <c r="V84" s="18" t="n">
        <f aca="false">IF(AND(T84="S",ISNUMBER(L84),ISNUMBER(F84)),L84*F84*X84,0)</f>
        <v>0</v>
      </c>
      <c r="W84" s="18" t="n">
        <f aca="false">IF(AND(T84="S",ISNUMBER(Q84)),Q84*X84,0)</f>
        <v>0</v>
      </c>
      <c r="X84" s="23" t="n">
        <v>1</v>
      </c>
      <c r="Y84" s="18" t="n">
        <f aca="false">IF(AND(T84="S",ISNUMBER(G84)),G84*X84,0)</f>
        <v>0</v>
      </c>
    </row>
    <row r="85" customFormat="false" ht="26.85" hidden="false" customHeight="false" outlineLevel="0" collapsed="false">
      <c r="A85" s="14" t="s">
        <v>314</v>
      </c>
      <c r="B85" s="15" t="s">
        <v>315</v>
      </c>
      <c r="C85" s="14" t="s">
        <v>316</v>
      </c>
      <c r="D85" s="14" t="s">
        <v>117</v>
      </c>
      <c r="E85" s="14" t="n">
        <v>7</v>
      </c>
      <c r="F85" s="16" t="n">
        <v>1</v>
      </c>
      <c r="G85" s="17" t="n">
        <v>6</v>
      </c>
      <c r="H85" s="18" t="n">
        <f aca="false">IF(ISNUMBER(G85),IFERROR(G85/F85,""),"")</f>
        <v>6</v>
      </c>
      <c r="I85" s="17" t="n">
        <v>12.9</v>
      </c>
      <c r="J85" s="17" t="n">
        <v>12.9</v>
      </c>
      <c r="K85" s="19" t="s">
        <v>64</v>
      </c>
      <c r="L85" s="20" t="n">
        <v>12.9</v>
      </c>
      <c r="M85" s="18" t="n">
        <f aca="false">IFERROR(L85*(1-Premissas!$B$5)*(1-Premissas!$B$6)-H85-Premissas!$B$7,"")</f>
        <v>5.13245</v>
      </c>
      <c r="N85" s="21" t="n">
        <f aca="false">IFERROR(M85/L85,"")</f>
        <v>0.397864341085271</v>
      </c>
      <c r="O85" s="18" t="n">
        <f aca="false">IFERROR(L85*(1-Premissas!$B$8)-Premissas!$B$9-H85-Premissas!$B$7,"")</f>
        <v>-1.898</v>
      </c>
      <c r="P85" s="18" t="n">
        <f aca="false">IFERROR(L85*(1-Premissas!$B$10)-Premissas!$B$11-H85-Premissas!$B$7,"")</f>
        <v>-0.68</v>
      </c>
      <c r="Q85" s="18" t="n">
        <f aca="false">IFERROR(M85*F85,"")</f>
        <v>5.13245</v>
      </c>
      <c r="R85" s="22" t="n">
        <f aca="false">IFERROR(IF(M85&gt;0,ROUNDUP(Premissas!$B$12/M85,0),"sem lucro"),"")</f>
        <v>195</v>
      </c>
      <c r="S85" s="15" t="s">
        <v>82</v>
      </c>
      <c r="T85" s="23" t="s">
        <v>76</v>
      </c>
      <c r="U85" s="15" t="s">
        <v>317</v>
      </c>
      <c r="V85" s="18" t="n">
        <f aca="false">IF(AND(T85="S",ISNUMBER(L85),ISNUMBER(F85)),L85*F85*X85,0)</f>
        <v>0</v>
      </c>
      <c r="W85" s="18" t="n">
        <f aca="false">IF(AND(T85="S",ISNUMBER(Q85)),Q85*X85,0)</f>
        <v>0</v>
      </c>
      <c r="X85" s="23" t="n">
        <v>12</v>
      </c>
      <c r="Y85" s="18" t="n">
        <f aca="false">IF(AND(T85="S",ISNUMBER(G85)),G85*X85,0)</f>
        <v>0</v>
      </c>
    </row>
    <row r="86" customFormat="false" ht="26.85" hidden="false" customHeight="false" outlineLevel="0" collapsed="false">
      <c r="A86" s="14" t="s">
        <v>318</v>
      </c>
      <c r="B86" s="15" t="s">
        <v>319</v>
      </c>
      <c r="C86" s="14" t="s">
        <v>320</v>
      </c>
      <c r="D86" s="14" t="s">
        <v>92</v>
      </c>
      <c r="E86" s="14" t="n">
        <v>7</v>
      </c>
      <c r="F86" s="16" t="n">
        <v>1</v>
      </c>
      <c r="G86" s="17" t="n">
        <v>5.2</v>
      </c>
      <c r="H86" s="18" t="n">
        <f aca="false">IF(ISNUMBER(G86),IFERROR(G86/F86,""),"")</f>
        <v>5.2</v>
      </c>
      <c r="I86" s="17" t="n">
        <v>7.99</v>
      </c>
      <c r="J86" s="17" t="n">
        <v>10</v>
      </c>
      <c r="K86" s="14" t="s">
        <v>93</v>
      </c>
      <c r="L86" s="20" t="n">
        <v>9.9</v>
      </c>
      <c r="M86" s="18" t="n">
        <f aca="false">IFERROR(L86*(1-Premissas!$B$5)*(1-Premissas!$B$6)-H86-Premissas!$B$7,"")</f>
        <v>3.11095</v>
      </c>
      <c r="N86" s="21" t="n">
        <f aca="false">IFERROR(M86/L86,"")</f>
        <v>0.314237373737374</v>
      </c>
      <c r="O86" s="18" t="n">
        <f aca="false">IFERROR(L86*(1-Premissas!$B$8)-Premissas!$B$9-H86-Premissas!$B$7,"")</f>
        <v>-3.738</v>
      </c>
      <c r="P86" s="18" t="n">
        <f aca="false">IFERROR(L86*(1-Premissas!$B$10)-Premissas!$B$11-H86-Premissas!$B$7,"")</f>
        <v>-2.28</v>
      </c>
      <c r="Q86" s="18" t="n">
        <f aca="false">IFERROR(M86*F86,"")</f>
        <v>3.11095</v>
      </c>
      <c r="R86" s="22" t="n">
        <f aca="false">IFERROR(IF(M86&gt;0,ROUNDUP(Premissas!$B$12/M86,0),"sem lucro"),"")</f>
        <v>322</v>
      </c>
      <c r="S86" s="15" t="s">
        <v>321</v>
      </c>
      <c r="T86" s="23" t="s">
        <v>76</v>
      </c>
      <c r="U86" s="15" t="s">
        <v>322</v>
      </c>
      <c r="V86" s="18" t="n">
        <f aca="false">IF(AND(T86="S",ISNUMBER(L86),ISNUMBER(F86)),L86*F86*X86,0)</f>
        <v>0</v>
      </c>
      <c r="W86" s="18" t="n">
        <f aca="false">IF(AND(T86="S",ISNUMBER(Q86)),Q86*X86,0)</f>
        <v>0</v>
      </c>
      <c r="X86" s="23" t="n">
        <v>12</v>
      </c>
      <c r="Y86" s="18" t="n">
        <f aca="false">IF(AND(T86="S",ISNUMBER(G86)),G86*X86,0)</f>
        <v>0</v>
      </c>
    </row>
    <row r="87" customFormat="false" ht="15" hidden="false" customHeight="false" outlineLevel="0" collapsed="false">
      <c r="A87" s="14" t="s">
        <v>323</v>
      </c>
      <c r="B87" s="15" t="s">
        <v>324</v>
      </c>
      <c r="C87" s="14" t="s">
        <v>320</v>
      </c>
      <c r="D87" s="14" t="s">
        <v>63</v>
      </c>
      <c r="E87" s="14" t="n">
        <v>7</v>
      </c>
      <c r="F87" s="16" t="n">
        <v>24</v>
      </c>
      <c r="G87" s="17" t="n">
        <v>164.5</v>
      </c>
      <c r="H87" s="18" t="n">
        <f aca="false">IF(ISNUMBER(G87),IFERROR(G87/F87,""),"")</f>
        <v>6.85416666666667</v>
      </c>
      <c r="I87" s="17" t="n">
        <v>12.9</v>
      </c>
      <c r="J87" s="17" t="n">
        <v>15</v>
      </c>
      <c r="K87" s="19" t="s">
        <v>64</v>
      </c>
      <c r="L87" s="20" t="n">
        <v>12.9</v>
      </c>
      <c r="M87" s="18" t="n">
        <f aca="false">IFERROR(L87*(1-Premissas!$B$5)*(1-Premissas!$B$6)-H87-Premissas!$B$7,"")</f>
        <v>4.27828333333333</v>
      </c>
      <c r="N87" s="21" t="n">
        <f aca="false">IFERROR(M87/L87,"")</f>
        <v>0.331649870801034</v>
      </c>
      <c r="O87" s="18" t="n">
        <f aca="false">IFERROR(L87*(1-Premissas!$B$8)-Premissas!$B$9-H87-Premissas!$B$7,"")</f>
        <v>-2.75216666666667</v>
      </c>
      <c r="P87" s="18" t="n">
        <f aca="false">IFERROR(L87*(1-Premissas!$B$10)-Premissas!$B$11-H87-Premissas!$B$7,"")</f>
        <v>-1.53416666666667</v>
      </c>
      <c r="Q87" s="18" t="n">
        <f aca="false">IFERROR(M87*F87,"")</f>
        <v>102.6788</v>
      </c>
      <c r="R87" s="22" t="n">
        <f aca="false">IFERROR(IF(M87&gt;0,ROUNDUP(Premissas!$B$12/M87,0),"sem lucro"),"")</f>
        <v>234</v>
      </c>
      <c r="S87" s="15" t="s">
        <v>325</v>
      </c>
      <c r="T87" s="23" t="s">
        <v>76</v>
      </c>
      <c r="U87" s="15"/>
      <c r="V87" s="18" t="n">
        <f aca="false">IF(AND(T87="S",ISNUMBER(L87),ISNUMBER(F87)),L87*F87*X87,0)</f>
        <v>0</v>
      </c>
      <c r="W87" s="18" t="n">
        <f aca="false">IF(AND(T87="S",ISNUMBER(Q87)),Q87*X87,0)</f>
        <v>0</v>
      </c>
      <c r="X87" s="23" t="n">
        <v>1</v>
      </c>
      <c r="Y87" s="18" t="n">
        <f aca="false">IF(AND(T87="S",ISNUMBER(G87)),G87*X87,0)</f>
        <v>0</v>
      </c>
    </row>
    <row r="88" customFormat="false" ht="15" hidden="false" customHeight="false" outlineLevel="0" collapsed="false">
      <c r="A88" s="14" t="s">
        <v>326</v>
      </c>
      <c r="B88" s="15" t="s">
        <v>327</v>
      </c>
      <c r="C88" s="14" t="s">
        <v>145</v>
      </c>
      <c r="D88" s="14" t="s">
        <v>125</v>
      </c>
      <c r="E88" s="14" t="n">
        <v>7</v>
      </c>
      <c r="F88" s="16" t="n">
        <v>24</v>
      </c>
      <c r="G88" s="17" t="n">
        <v>132.2</v>
      </c>
      <c r="H88" s="18" t="n">
        <f aca="false">IF(ISNUMBER(G88),IFERROR(G88/F88,""),"")</f>
        <v>5.50833333333333</v>
      </c>
      <c r="I88" s="17" t="n">
        <v>12.9</v>
      </c>
      <c r="J88" s="17" t="n">
        <v>12.9</v>
      </c>
      <c r="K88" s="19" t="s">
        <v>64</v>
      </c>
      <c r="L88" s="20" t="n">
        <v>12.9</v>
      </c>
      <c r="M88" s="18" t="n">
        <f aca="false">IFERROR(L88*(1-Premissas!$B$5)*(1-Premissas!$B$6)-H88-Premissas!$B$7,"")</f>
        <v>5.62411666666667</v>
      </c>
      <c r="N88" s="21" t="n">
        <f aca="false">IFERROR(M88/L88,"")</f>
        <v>0.435978036175711</v>
      </c>
      <c r="O88" s="18" t="n">
        <f aca="false">IFERROR(L88*(1-Premissas!$B$8)-Premissas!$B$9-H88-Premissas!$B$7,"")</f>
        <v>-1.40633333333333</v>
      </c>
      <c r="P88" s="18" t="n">
        <f aca="false">IFERROR(L88*(1-Premissas!$B$10)-Premissas!$B$11-H88-Premissas!$B$7,"")</f>
        <v>-0.188333333333333</v>
      </c>
      <c r="Q88" s="18" t="n">
        <f aca="false">IFERROR(M88*F88,"")</f>
        <v>134.9788</v>
      </c>
      <c r="R88" s="22" t="n">
        <f aca="false">IFERROR(IF(M88&gt;0,ROUNDUP(Premissas!$B$12/M88,0),"sem lucro"),"")</f>
        <v>178</v>
      </c>
      <c r="S88" s="15" t="s">
        <v>82</v>
      </c>
      <c r="T88" s="23" t="s">
        <v>76</v>
      </c>
      <c r="U88" s="15"/>
      <c r="V88" s="18" t="n">
        <f aca="false">IF(AND(T88="S",ISNUMBER(L88),ISNUMBER(F88)),L88*F88*X88,0)</f>
        <v>0</v>
      </c>
      <c r="W88" s="18" t="n">
        <f aca="false">IF(AND(T88="S",ISNUMBER(Q88)),Q88*X88,0)</f>
        <v>0</v>
      </c>
      <c r="X88" s="23" t="n">
        <v>1</v>
      </c>
      <c r="Y88" s="18" t="n">
        <f aca="false">IF(AND(T88="S",ISNUMBER(G88)),G88*X88,0)</f>
        <v>0</v>
      </c>
    </row>
    <row r="89" customFormat="false" ht="15" hidden="false" customHeight="false" outlineLevel="0" collapsed="false">
      <c r="A89" s="14" t="s">
        <v>328</v>
      </c>
      <c r="B89" s="15" t="s">
        <v>329</v>
      </c>
      <c r="C89" s="14" t="s">
        <v>207</v>
      </c>
      <c r="D89" s="14" t="s">
        <v>125</v>
      </c>
      <c r="E89" s="14" t="n">
        <v>7</v>
      </c>
      <c r="F89" s="16" t="n">
        <v>24</v>
      </c>
      <c r="G89" s="17" t="n">
        <v>158.8</v>
      </c>
      <c r="H89" s="18" t="n">
        <f aca="false">IF(ISNUMBER(G89),IFERROR(G89/F89,""),"")</f>
        <v>6.61666666666667</v>
      </c>
      <c r="I89" s="17" t="n">
        <v>12.9</v>
      </c>
      <c r="J89" s="17" t="n">
        <v>12.9</v>
      </c>
      <c r="K89" s="19" t="s">
        <v>64</v>
      </c>
      <c r="L89" s="20" t="n">
        <v>12.9</v>
      </c>
      <c r="M89" s="18" t="n">
        <f aca="false">IFERROR(L89*(1-Premissas!$B$5)*(1-Premissas!$B$6)-H89-Premissas!$B$7,"")</f>
        <v>4.51578333333333</v>
      </c>
      <c r="N89" s="21" t="n">
        <f aca="false">IFERROR(M89/L89,"")</f>
        <v>0.350060723514212</v>
      </c>
      <c r="O89" s="18" t="n">
        <f aca="false">IFERROR(L89*(1-Premissas!$B$8)-Premissas!$B$9-H89-Premissas!$B$7,"")</f>
        <v>-2.51466666666667</v>
      </c>
      <c r="P89" s="18" t="n">
        <f aca="false">IFERROR(L89*(1-Premissas!$B$10)-Premissas!$B$11-H89-Premissas!$B$7,"")</f>
        <v>-1.29666666666667</v>
      </c>
      <c r="Q89" s="18" t="n">
        <f aca="false">IFERROR(M89*F89,"")</f>
        <v>108.3788</v>
      </c>
      <c r="R89" s="22" t="n">
        <f aca="false">IFERROR(IF(M89&gt;0,ROUNDUP(Premissas!$B$12/M89,0),"sem lucro"),"")</f>
        <v>222</v>
      </c>
      <c r="S89" s="15" t="s">
        <v>82</v>
      </c>
      <c r="T89" s="23" t="s">
        <v>76</v>
      </c>
      <c r="U89" s="15"/>
      <c r="V89" s="18" t="n">
        <f aca="false">IF(AND(T89="S",ISNUMBER(L89),ISNUMBER(F89)),L89*F89*X89,0)</f>
        <v>0</v>
      </c>
      <c r="W89" s="18" t="n">
        <f aca="false">IF(AND(T89="S",ISNUMBER(Q89)),Q89*X89,0)</f>
        <v>0</v>
      </c>
      <c r="X89" s="23" t="n">
        <v>1</v>
      </c>
      <c r="Y89" s="18" t="n">
        <f aca="false">IF(AND(T89="S",ISNUMBER(G89)),G89*X89,0)</f>
        <v>0</v>
      </c>
    </row>
    <row r="90" customFormat="false" ht="26.85" hidden="false" customHeight="false" outlineLevel="0" collapsed="false">
      <c r="A90" s="14" t="s">
        <v>330</v>
      </c>
      <c r="B90" s="15" t="s">
        <v>331</v>
      </c>
      <c r="C90" s="14" t="s">
        <v>207</v>
      </c>
      <c r="D90" s="14" t="s">
        <v>63</v>
      </c>
      <c r="E90" s="14" t="n">
        <v>7</v>
      </c>
      <c r="F90" s="16" t="n">
        <v>48</v>
      </c>
      <c r="G90" s="17" t="n">
        <v>116.7</v>
      </c>
      <c r="H90" s="18" t="n">
        <f aca="false">IF(ISNUMBER(G90),IFERROR(G90/F90,""),"")</f>
        <v>2.43125</v>
      </c>
      <c r="I90" s="17" t="n">
        <v>13.8</v>
      </c>
      <c r="J90" s="17" t="n">
        <v>15.9</v>
      </c>
      <c r="K90" s="14" t="s">
        <v>93</v>
      </c>
      <c r="L90" s="20" t="n">
        <v>12.9</v>
      </c>
      <c r="M90" s="18" t="n">
        <f aca="false">IFERROR(L90*(1-Premissas!$B$5)*(1-Premissas!$B$6)-H90-Premissas!$B$7,"")</f>
        <v>8.7012</v>
      </c>
      <c r="N90" s="21" t="n">
        <f aca="false">IFERROR(M90/L90,"")</f>
        <v>0.674511627906977</v>
      </c>
      <c r="O90" s="18" t="n">
        <f aca="false">IFERROR(L90*(1-Premissas!$B$8)-Premissas!$B$9-H90-Premissas!$B$7,"")</f>
        <v>1.67075</v>
      </c>
      <c r="P90" s="18" t="n">
        <f aca="false">IFERROR(L90*(1-Premissas!$B$10)-Premissas!$B$11-H90-Premissas!$B$7,"")</f>
        <v>2.88875</v>
      </c>
      <c r="Q90" s="18" t="n">
        <f aca="false">IFERROR(M90*F90,"")</f>
        <v>417.6576</v>
      </c>
      <c r="R90" s="22" t="n">
        <f aca="false">IFERROR(IF(M90&gt;0,ROUNDUP(Premissas!$B$12/M90,0),"sem lucro"),"")</f>
        <v>115</v>
      </c>
      <c r="S90" s="15" t="s">
        <v>65</v>
      </c>
      <c r="T90" s="23" t="s">
        <v>66</v>
      </c>
      <c r="U90" s="15" t="s">
        <v>332</v>
      </c>
      <c r="V90" s="18" t="n">
        <f aca="false">IF(AND(T90="S",ISNUMBER(L90),ISNUMBER(F90)),L90*F90*X90,0)</f>
        <v>619.2</v>
      </c>
      <c r="W90" s="18" t="n">
        <f aca="false">IF(AND(T90="S",ISNUMBER(Q90)),Q90*X90,0)</f>
        <v>417.6576</v>
      </c>
      <c r="X90" s="23" t="n">
        <v>1</v>
      </c>
      <c r="Y90" s="18" t="n">
        <f aca="false">IF(AND(T90="S",ISNUMBER(G90)),G90*X90,0)</f>
        <v>116.7</v>
      </c>
    </row>
    <row r="91" customFormat="false" ht="15" hidden="false" customHeight="false" outlineLevel="0" collapsed="false">
      <c r="A91" s="14" t="s">
        <v>333</v>
      </c>
      <c r="B91" s="15" t="s">
        <v>334</v>
      </c>
      <c r="C91" s="14" t="s">
        <v>207</v>
      </c>
      <c r="D91" s="14" t="s">
        <v>117</v>
      </c>
      <c r="E91" s="14" t="n">
        <v>7</v>
      </c>
      <c r="F91" s="16" t="n">
        <v>24</v>
      </c>
      <c r="G91" s="17" t="n">
        <v>129.6</v>
      </c>
      <c r="H91" s="18" t="n">
        <f aca="false">IF(ISNUMBER(G91),IFERROR(G91/F91,""),"")</f>
        <v>5.4</v>
      </c>
      <c r="I91" s="17" t="n">
        <v>12.9</v>
      </c>
      <c r="J91" s="17" t="n">
        <v>12.9</v>
      </c>
      <c r="K91" s="19" t="s">
        <v>64</v>
      </c>
      <c r="L91" s="20" t="n">
        <v>12.9</v>
      </c>
      <c r="M91" s="18" t="n">
        <f aca="false">IFERROR(L91*(1-Premissas!$B$5)*(1-Premissas!$B$6)-H91-Premissas!$B$7,"")</f>
        <v>5.73245</v>
      </c>
      <c r="N91" s="21" t="n">
        <f aca="false">IFERROR(M91/L91,"")</f>
        <v>0.444375968992248</v>
      </c>
      <c r="O91" s="18" t="n">
        <f aca="false">IFERROR(L91*(1-Premissas!$B$8)-Premissas!$B$9-H91-Premissas!$B$7,"")</f>
        <v>-1.298</v>
      </c>
      <c r="P91" s="18" t="n">
        <f aca="false">IFERROR(L91*(1-Premissas!$B$10)-Premissas!$B$11-H91-Premissas!$B$7,"")</f>
        <v>-0.0799999999999992</v>
      </c>
      <c r="Q91" s="18" t="n">
        <f aca="false">IFERROR(M91*F91,"")</f>
        <v>137.5788</v>
      </c>
      <c r="R91" s="22" t="n">
        <f aca="false">IFERROR(IF(M91&gt;0,ROUNDUP(Premissas!$B$12/M91,0),"sem lucro"),"")</f>
        <v>175</v>
      </c>
      <c r="S91" s="15" t="s">
        <v>252</v>
      </c>
      <c r="T91" s="23" t="s">
        <v>76</v>
      </c>
      <c r="U91" s="15"/>
      <c r="V91" s="18" t="n">
        <f aca="false">IF(AND(T91="S",ISNUMBER(L91),ISNUMBER(F91)),L91*F91*X91,0)</f>
        <v>0</v>
      </c>
      <c r="W91" s="18" t="n">
        <f aca="false">IF(AND(T91="S",ISNUMBER(Q91)),Q91*X91,0)</f>
        <v>0</v>
      </c>
      <c r="X91" s="23" t="n">
        <v>1</v>
      </c>
      <c r="Y91" s="18" t="n">
        <f aca="false">IF(AND(T91="S",ISNUMBER(G91)),G91*X91,0)</f>
        <v>0</v>
      </c>
    </row>
    <row r="92" customFormat="false" ht="15" hidden="false" customHeight="false" outlineLevel="0" collapsed="false">
      <c r="A92" s="14" t="s">
        <v>335</v>
      </c>
      <c r="B92" s="15" t="s">
        <v>336</v>
      </c>
      <c r="C92" s="14" t="s">
        <v>207</v>
      </c>
      <c r="D92" s="14" t="s">
        <v>117</v>
      </c>
      <c r="E92" s="14" t="n">
        <v>7</v>
      </c>
      <c r="F92" s="16" t="n">
        <v>12</v>
      </c>
      <c r="G92" s="17" t="n">
        <v>16.7</v>
      </c>
      <c r="H92" s="18" t="n">
        <f aca="false">IF(ISNUMBER(G92),IFERROR(G92/F92,""),"")</f>
        <v>1.39166666666667</v>
      </c>
      <c r="I92" s="17" t="n">
        <v>3.96</v>
      </c>
      <c r="J92" s="17" t="n">
        <v>7.69</v>
      </c>
      <c r="K92" s="14" t="s">
        <v>93</v>
      </c>
      <c r="L92" s="20" t="n">
        <v>5.9</v>
      </c>
      <c r="M92" s="18" t="n">
        <f aca="false">IFERROR(L92*(1-Premissas!$B$5)*(1-Premissas!$B$6)-H92-Premissas!$B$7,"")</f>
        <v>3.15728333333333</v>
      </c>
      <c r="N92" s="21" t="n">
        <f aca="false">IFERROR(M92/L92,"")</f>
        <v>0.535132768361582</v>
      </c>
      <c r="O92" s="18" t="n">
        <f aca="false">IFERROR(L92*(1-Premissas!$B$8)-Premissas!$B$9-H92-Premissas!$B$7,"")</f>
        <v>-3.44966666666667</v>
      </c>
      <c r="P92" s="18" t="n">
        <f aca="false">IFERROR(L92*(1-Premissas!$B$10)-Premissas!$B$11-H92-Premissas!$B$7,"")</f>
        <v>-1.67166666666667</v>
      </c>
      <c r="Q92" s="18" t="n">
        <f aca="false">IFERROR(M92*F92,"")</f>
        <v>37.8874</v>
      </c>
      <c r="R92" s="22" t="n">
        <f aca="false">IFERROR(IF(M92&gt;0,ROUNDUP(Premissas!$B$12/M92,0),"sem lucro"),"")</f>
        <v>317</v>
      </c>
      <c r="S92" s="15" t="s">
        <v>111</v>
      </c>
      <c r="T92" s="23" t="s">
        <v>76</v>
      </c>
      <c r="U92" s="15" t="s">
        <v>337</v>
      </c>
      <c r="V92" s="18" t="n">
        <f aca="false">IF(AND(T92="S",ISNUMBER(L92),ISNUMBER(F92)),L92*F92*X92,0)</f>
        <v>0</v>
      </c>
      <c r="W92" s="18" t="n">
        <f aca="false">IF(AND(T92="S",ISNUMBER(Q92)),Q92*X92,0)</f>
        <v>0</v>
      </c>
      <c r="X92" s="23" t="n">
        <v>1</v>
      </c>
      <c r="Y92" s="18" t="n">
        <f aca="false">IF(AND(T92="S",ISNUMBER(G92)),G92*X92,0)</f>
        <v>0</v>
      </c>
    </row>
    <row r="93" customFormat="false" ht="26.85" hidden="false" customHeight="false" outlineLevel="0" collapsed="false">
      <c r="A93" s="14" t="s">
        <v>338</v>
      </c>
      <c r="B93" s="15" t="s">
        <v>339</v>
      </c>
      <c r="C93" s="14" t="s">
        <v>207</v>
      </c>
      <c r="D93" s="14" t="s">
        <v>63</v>
      </c>
      <c r="E93" s="14" t="n">
        <v>7</v>
      </c>
      <c r="F93" s="16" t="n">
        <v>24</v>
      </c>
      <c r="G93" s="17" t="n">
        <v>93.99</v>
      </c>
      <c r="H93" s="18" t="n">
        <f aca="false">IF(ISNUMBER(G93),IFERROR(G93/F93,""),"")</f>
        <v>3.91625</v>
      </c>
      <c r="I93" s="17" t="n">
        <v>19.9</v>
      </c>
      <c r="J93" s="17" t="n">
        <v>21.7</v>
      </c>
      <c r="K93" s="19" t="s">
        <v>64</v>
      </c>
      <c r="L93" s="20" t="n">
        <v>15.9</v>
      </c>
      <c r="M93" s="18" t="n">
        <f aca="false">IFERROR(L93*(1-Premissas!$B$5)*(1-Premissas!$B$6)-H93-Premissas!$B$7,"")</f>
        <v>10.0377</v>
      </c>
      <c r="N93" s="21" t="n">
        <f aca="false">IFERROR(M93/L93,"")</f>
        <v>0.631301886792453</v>
      </c>
      <c r="O93" s="18" t="n">
        <f aca="false">IFERROR(L93*(1-Premissas!$B$8)-Premissas!$B$9-H93-Premissas!$B$7,"")</f>
        <v>2.82575</v>
      </c>
      <c r="P93" s="18" t="n">
        <f aca="false">IFERROR(L93*(1-Premissas!$B$10)-Premissas!$B$11-H93-Premissas!$B$7,"")</f>
        <v>3.80375</v>
      </c>
      <c r="Q93" s="18" t="n">
        <f aca="false">IFERROR(M93*F93,"")</f>
        <v>240.9048</v>
      </c>
      <c r="R93" s="22" t="n">
        <f aca="false">IFERROR(IF(M93&gt;0,ROUNDUP(Premissas!$B$12/M93,0),"sem lucro"),"")</f>
        <v>100</v>
      </c>
      <c r="S93" s="15" t="s">
        <v>65</v>
      </c>
      <c r="T93" s="23" t="s">
        <v>66</v>
      </c>
      <c r="U93" s="15" t="s">
        <v>340</v>
      </c>
      <c r="V93" s="18" t="n">
        <f aca="false">IF(AND(T93="S",ISNUMBER(L93),ISNUMBER(F93)),L93*F93*X93,0)</f>
        <v>381.6</v>
      </c>
      <c r="W93" s="18" t="n">
        <f aca="false">IF(AND(T93="S",ISNUMBER(Q93)),Q93*X93,0)</f>
        <v>240.9048</v>
      </c>
      <c r="X93" s="23" t="n">
        <v>1</v>
      </c>
      <c r="Y93" s="18" t="n">
        <f aca="false">IF(AND(T93="S",ISNUMBER(G93)),G93*X93,0)</f>
        <v>93.99</v>
      </c>
    </row>
    <row r="94" customFormat="false" ht="26.85" hidden="false" customHeight="false" outlineLevel="0" collapsed="false">
      <c r="A94" s="14" t="s">
        <v>341</v>
      </c>
      <c r="B94" s="15" t="s">
        <v>342</v>
      </c>
      <c r="C94" s="14" t="s">
        <v>198</v>
      </c>
      <c r="D94" s="14" t="s">
        <v>224</v>
      </c>
      <c r="E94" s="14" t="n">
        <v>7</v>
      </c>
      <c r="F94" s="16" t="n">
        <v>1</v>
      </c>
      <c r="G94" s="17" t="n">
        <v>6.99</v>
      </c>
      <c r="H94" s="18" t="n">
        <f aca="false">IF(ISNUMBER(G94),IFERROR(G94/F94,""),"")</f>
        <v>6.99</v>
      </c>
      <c r="I94" s="17" t="n">
        <v>14.9</v>
      </c>
      <c r="J94" s="17" t="n">
        <v>19.9</v>
      </c>
      <c r="K94" s="19" t="s">
        <v>64</v>
      </c>
      <c r="L94" s="20" t="n">
        <v>19.9</v>
      </c>
      <c r="M94" s="18" t="n">
        <f aca="false">IFERROR(L94*(1-Premissas!$B$5)*(1-Premissas!$B$6)-H94-Premissas!$B$7,"")</f>
        <v>10.72595</v>
      </c>
      <c r="N94" s="21" t="n">
        <f aca="false">IFERROR(M94/L94,"")</f>
        <v>0.538992462311558</v>
      </c>
      <c r="O94" s="18" t="n">
        <f aca="false">IFERROR(L94*(1-Premissas!$B$8)-Premissas!$B$9-H94-Premissas!$B$7,"")</f>
        <v>3.272</v>
      </c>
      <c r="P94" s="18" t="n">
        <f aca="false">IFERROR(L94*(1-Premissas!$B$10)-Premissas!$B$11-H94-Premissas!$B$7,"")</f>
        <v>3.93</v>
      </c>
      <c r="Q94" s="18" t="n">
        <f aca="false">IFERROR(M94*F94,"")</f>
        <v>10.72595</v>
      </c>
      <c r="R94" s="22" t="n">
        <f aca="false">IFERROR(IF(M94&gt;0,ROUNDUP(Premissas!$B$12/M94,0),"sem lucro"),"")</f>
        <v>94</v>
      </c>
      <c r="S94" s="15" t="s">
        <v>82</v>
      </c>
      <c r="T94" s="23" t="s">
        <v>76</v>
      </c>
      <c r="U94" s="15" t="s">
        <v>343</v>
      </c>
      <c r="V94" s="18" t="n">
        <f aca="false">IF(AND(T94="S",ISNUMBER(L94),ISNUMBER(F94)),L94*F94*X94,0)</f>
        <v>0</v>
      </c>
      <c r="W94" s="18" t="n">
        <f aca="false">IF(AND(T94="S",ISNUMBER(Q94)),Q94*X94,0)</f>
        <v>0</v>
      </c>
      <c r="X94" s="23" t="n">
        <v>12</v>
      </c>
      <c r="Y94" s="18" t="n">
        <f aca="false">IF(AND(T94="S",ISNUMBER(G94)),G94*X94,0)</f>
        <v>0</v>
      </c>
    </row>
    <row r="95" customFormat="false" ht="15" hidden="false" customHeight="false" outlineLevel="0" collapsed="false">
      <c r="A95" s="14" t="s">
        <v>344</v>
      </c>
      <c r="B95" s="15" t="s">
        <v>345</v>
      </c>
      <c r="C95" s="14" t="s">
        <v>316</v>
      </c>
      <c r="D95" s="14" t="s">
        <v>63</v>
      </c>
      <c r="E95" s="14" t="n">
        <v>7</v>
      </c>
      <c r="F95" s="16" t="n">
        <v>24</v>
      </c>
      <c r="G95" s="17" t="n">
        <v>160.4</v>
      </c>
      <c r="H95" s="18" t="n">
        <f aca="false">IF(ISNUMBER(G95),IFERROR(G95/F95,""),"")</f>
        <v>6.68333333333333</v>
      </c>
      <c r="I95" s="17" t="n">
        <v>12.9</v>
      </c>
      <c r="J95" s="17" t="n">
        <v>12.9</v>
      </c>
      <c r="K95" s="19" t="s">
        <v>64</v>
      </c>
      <c r="L95" s="20" t="n">
        <v>12.9</v>
      </c>
      <c r="M95" s="18" t="n">
        <f aca="false">IFERROR(L95*(1-Premissas!$B$5)*(1-Premissas!$B$6)-H95-Premissas!$B$7,"")</f>
        <v>4.44911666666667</v>
      </c>
      <c r="N95" s="21" t="n">
        <f aca="false">IFERROR(M95/L95,"")</f>
        <v>0.344892764857881</v>
      </c>
      <c r="O95" s="18" t="n">
        <f aca="false">IFERROR(L95*(1-Premissas!$B$8)-Premissas!$B$9-H95-Premissas!$B$7,"")</f>
        <v>-2.58133333333333</v>
      </c>
      <c r="P95" s="18" t="n">
        <f aca="false">IFERROR(L95*(1-Premissas!$B$10)-Premissas!$B$11-H95-Premissas!$B$7,"")</f>
        <v>-1.36333333333333</v>
      </c>
      <c r="Q95" s="18" t="n">
        <f aca="false">IFERROR(M95*F95,"")</f>
        <v>106.7788</v>
      </c>
      <c r="R95" s="22" t="n">
        <f aca="false">IFERROR(IF(M95&gt;0,ROUNDUP(Premissas!$B$12/M95,0),"sem lucro"),"")</f>
        <v>225</v>
      </c>
      <c r="S95" s="15" t="s">
        <v>307</v>
      </c>
      <c r="T95" s="23" t="s">
        <v>76</v>
      </c>
      <c r="U95" s="15"/>
      <c r="V95" s="18" t="n">
        <f aca="false">IF(AND(T95="S",ISNUMBER(L95),ISNUMBER(F95)),L95*F95*X95,0)</f>
        <v>0</v>
      </c>
      <c r="W95" s="18" t="n">
        <f aca="false">IF(AND(T95="S",ISNUMBER(Q95)),Q95*X95,0)</f>
        <v>0</v>
      </c>
      <c r="X95" s="23" t="n">
        <v>1</v>
      </c>
      <c r="Y95" s="18" t="n">
        <f aca="false">IF(AND(T95="S",ISNUMBER(G95)),G95*X95,0)</f>
        <v>0</v>
      </c>
    </row>
    <row r="96" customFormat="false" ht="15" hidden="false" customHeight="false" outlineLevel="0" collapsed="false">
      <c r="A96" s="14" t="s">
        <v>346</v>
      </c>
      <c r="B96" s="15" t="s">
        <v>347</v>
      </c>
      <c r="C96" s="14" t="s">
        <v>259</v>
      </c>
      <c r="D96" s="14" t="s">
        <v>117</v>
      </c>
      <c r="E96" s="14" t="n">
        <v>7</v>
      </c>
      <c r="F96" s="16" t="n">
        <v>24</v>
      </c>
      <c r="G96" s="17"/>
      <c r="H96" s="18" t="str">
        <f aca="false">IF(ISNUMBER(G96),IFERROR(G96/F96,""),"")</f>
        <v/>
      </c>
      <c r="I96" s="17"/>
      <c r="J96" s="17"/>
      <c r="K96" s="19" t="s">
        <v>64</v>
      </c>
      <c r="L96" s="20"/>
      <c r="M96" s="18" t="str">
        <f aca="false">IFERROR(L96*(1-Premissas!$B$5)*(1-Premissas!$B$6)-H96-Premissas!$B$7,"")</f>
        <v/>
      </c>
      <c r="N96" s="21" t="str">
        <f aca="false">IFERROR(M96/L96,"")</f>
        <v/>
      </c>
      <c r="O96" s="18" t="str">
        <f aca="false">IFERROR(L96*(1-Premissas!$B$8)-Premissas!$B$9-H96-Premissas!$B$7,"")</f>
        <v/>
      </c>
      <c r="P96" s="18" t="str">
        <f aca="false">IFERROR(L96*(1-Premissas!$B$10)-Premissas!$B$11-H96-Premissas!$B$7,"")</f>
        <v/>
      </c>
      <c r="Q96" s="18" t="str">
        <f aca="false">IFERROR(M96*F96,"")</f>
        <v/>
      </c>
      <c r="R96" s="22" t="str">
        <f aca="false">IFERROR(IF(M96&gt;0,ROUNDUP(Premissas!$B$12/M96,0),"sem lucro"),"")</f>
        <v/>
      </c>
      <c r="S96" s="15" t="s">
        <v>75</v>
      </c>
      <c r="T96" s="23" t="s">
        <v>76</v>
      </c>
      <c r="U96" s="15" t="s">
        <v>348</v>
      </c>
      <c r="V96" s="18" t="n">
        <f aca="false">IF(AND(T96="S",ISNUMBER(L96),ISNUMBER(F96)),L96*F96*X96,0)</f>
        <v>0</v>
      </c>
      <c r="W96" s="18" t="n">
        <f aca="false">IF(AND(T96="S",ISNUMBER(Q96)),Q96*X96,0)</f>
        <v>0</v>
      </c>
      <c r="X96" s="23" t="n">
        <v>1</v>
      </c>
      <c r="Y96" s="18" t="n">
        <f aca="false">IF(AND(T96="S",ISNUMBER(G96)),G96*X96,0)</f>
        <v>0</v>
      </c>
    </row>
    <row r="97" customFormat="false" ht="15" hidden="false" customHeight="false" outlineLevel="0" collapsed="false">
      <c r="A97" s="14" t="s">
        <v>349</v>
      </c>
      <c r="B97" s="15" t="s">
        <v>350</v>
      </c>
      <c r="C97" s="14" t="s">
        <v>259</v>
      </c>
      <c r="D97" s="14" t="s">
        <v>117</v>
      </c>
      <c r="E97" s="14" t="n">
        <v>7</v>
      </c>
      <c r="F97" s="16" t="n">
        <v>24</v>
      </c>
      <c r="G97" s="17"/>
      <c r="H97" s="18" t="str">
        <f aca="false">IF(ISNUMBER(G97),IFERROR(G97/F97,""),"")</f>
        <v/>
      </c>
      <c r="I97" s="17"/>
      <c r="J97" s="17"/>
      <c r="K97" s="19" t="s">
        <v>64</v>
      </c>
      <c r="L97" s="20"/>
      <c r="M97" s="18" t="str">
        <f aca="false">IFERROR(L97*(1-Premissas!$B$5)*(1-Premissas!$B$6)-H97-Premissas!$B$7,"")</f>
        <v/>
      </c>
      <c r="N97" s="21" t="str">
        <f aca="false">IFERROR(M97/L97,"")</f>
        <v/>
      </c>
      <c r="O97" s="18" t="str">
        <f aca="false">IFERROR(L97*(1-Premissas!$B$8)-Premissas!$B$9-H97-Premissas!$B$7,"")</f>
        <v/>
      </c>
      <c r="P97" s="18" t="str">
        <f aca="false">IFERROR(L97*(1-Premissas!$B$10)-Premissas!$B$11-H97-Premissas!$B$7,"")</f>
        <v/>
      </c>
      <c r="Q97" s="18" t="str">
        <f aca="false">IFERROR(M97*F97,"")</f>
        <v/>
      </c>
      <c r="R97" s="22" t="str">
        <f aca="false">IFERROR(IF(M97&gt;0,ROUNDUP(Premissas!$B$12/M97,0),"sem lucro"),"")</f>
        <v/>
      </c>
      <c r="S97" s="15" t="s">
        <v>75</v>
      </c>
      <c r="T97" s="23" t="s">
        <v>76</v>
      </c>
      <c r="U97" s="15" t="s">
        <v>348</v>
      </c>
      <c r="V97" s="18" t="n">
        <f aca="false">IF(AND(T97="S",ISNUMBER(L97),ISNUMBER(F97)),L97*F97*X97,0)</f>
        <v>0</v>
      </c>
      <c r="W97" s="18" t="n">
        <f aca="false">IF(AND(T97="S",ISNUMBER(Q97)),Q97*X97,0)</f>
        <v>0</v>
      </c>
      <c r="X97" s="23" t="n">
        <v>1</v>
      </c>
      <c r="Y97" s="18" t="n">
        <f aca="false">IF(AND(T97="S",ISNUMBER(G97)),G97*X97,0)</f>
        <v>0</v>
      </c>
    </row>
    <row r="98" customFormat="false" ht="15" hidden="false" customHeight="false" outlineLevel="0" collapsed="false">
      <c r="A98" s="14" t="s">
        <v>351</v>
      </c>
      <c r="B98" s="15" t="s">
        <v>352</v>
      </c>
      <c r="C98" s="14" t="s">
        <v>195</v>
      </c>
      <c r="D98" s="14" t="s">
        <v>63</v>
      </c>
      <c r="E98" s="14" t="n">
        <v>8</v>
      </c>
      <c r="F98" s="16" t="n">
        <v>19</v>
      </c>
      <c r="G98" s="17" t="n">
        <v>119.9</v>
      </c>
      <c r="H98" s="18" t="n">
        <f aca="false">IF(ISNUMBER(G98),IFERROR(G98/F98,""),"")</f>
        <v>6.31052631578947</v>
      </c>
      <c r="I98" s="17" t="n">
        <v>12.9</v>
      </c>
      <c r="J98" s="17" t="n">
        <v>14.9</v>
      </c>
      <c r="K98" s="19" t="s">
        <v>64</v>
      </c>
      <c r="L98" s="20" t="n">
        <v>13.9</v>
      </c>
      <c r="M98" s="18" t="n">
        <f aca="false">IFERROR(L98*(1-Premissas!$B$5)*(1-Premissas!$B$6)-H98-Premissas!$B$7,"")</f>
        <v>5.76242368421053</v>
      </c>
      <c r="N98" s="21" t="n">
        <f aca="false">IFERROR(M98/L98,"")</f>
        <v>0.414562854979175</v>
      </c>
      <c r="O98" s="18" t="n">
        <f aca="false">IFERROR(L98*(1-Premissas!$B$8)-Premissas!$B$9-H98-Premissas!$B$7,"")</f>
        <v>-1.32852631578947</v>
      </c>
      <c r="P98" s="18" t="n">
        <f aca="false">IFERROR(L98*(1-Premissas!$B$10)-Premissas!$B$11-H98-Premissas!$B$7,"")</f>
        <v>-0.190526315789473</v>
      </c>
      <c r="Q98" s="18" t="n">
        <f aca="false">IFERROR(M98*F98,"")</f>
        <v>109.48605</v>
      </c>
      <c r="R98" s="22" t="n">
        <f aca="false">IFERROR(IF(M98&gt;0,ROUNDUP(Premissas!$B$12/M98,0),"sem lucro"),"")</f>
        <v>174</v>
      </c>
      <c r="S98" s="15" t="s">
        <v>82</v>
      </c>
      <c r="T98" s="23" t="s">
        <v>76</v>
      </c>
      <c r="U98" s="15" t="s">
        <v>353</v>
      </c>
      <c r="V98" s="18" t="n">
        <f aca="false">IF(AND(T98="S",ISNUMBER(L98),ISNUMBER(F98)),L98*F98*X98,0)</f>
        <v>0</v>
      </c>
      <c r="W98" s="18" t="n">
        <f aca="false">IF(AND(T98="S",ISNUMBER(Q98)),Q98*X98,0)</f>
        <v>0</v>
      </c>
      <c r="X98" s="23" t="n">
        <v>1</v>
      </c>
      <c r="Y98" s="18" t="n">
        <f aca="false">IF(AND(T98="S",ISNUMBER(G98)),G98*X98,0)</f>
        <v>0</v>
      </c>
    </row>
    <row r="99" customFormat="false" ht="15" hidden="false" customHeight="false" outlineLevel="0" collapsed="false">
      <c r="A99" s="14" t="s">
        <v>354</v>
      </c>
      <c r="B99" s="15" t="s">
        <v>355</v>
      </c>
      <c r="C99" s="14" t="s">
        <v>195</v>
      </c>
      <c r="D99" s="14" t="s">
        <v>63</v>
      </c>
      <c r="E99" s="14" t="n">
        <v>8</v>
      </c>
      <c r="F99" s="16" t="n">
        <v>24</v>
      </c>
      <c r="G99" s="17" t="n">
        <v>142.2</v>
      </c>
      <c r="H99" s="18" t="n">
        <f aca="false">IF(ISNUMBER(G99),IFERROR(G99/F99,""),"")</f>
        <v>5.925</v>
      </c>
      <c r="I99" s="17" t="n">
        <v>12.9</v>
      </c>
      <c r="J99" s="17" t="n">
        <v>12.9</v>
      </c>
      <c r="K99" s="19" t="s">
        <v>64</v>
      </c>
      <c r="L99" s="20" t="n">
        <v>12.9</v>
      </c>
      <c r="M99" s="18" t="n">
        <f aca="false">IFERROR(L99*(1-Premissas!$B$5)*(1-Premissas!$B$6)-H99-Premissas!$B$7,"")</f>
        <v>5.20745</v>
      </c>
      <c r="N99" s="21" t="n">
        <f aca="false">IFERROR(M99/L99,"")</f>
        <v>0.403678294573643</v>
      </c>
      <c r="O99" s="18" t="n">
        <f aca="false">IFERROR(L99*(1-Premissas!$B$8)-Premissas!$B$9-H99-Premissas!$B$7,"")</f>
        <v>-1.823</v>
      </c>
      <c r="P99" s="18" t="n">
        <f aca="false">IFERROR(L99*(1-Premissas!$B$10)-Premissas!$B$11-H99-Premissas!$B$7,"")</f>
        <v>-0.605</v>
      </c>
      <c r="Q99" s="18" t="n">
        <f aca="false">IFERROR(M99*F99,"")</f>
        <v>124.9788</v>
      </c>
      <c r="R99" s="22" t="n">
        <f aca="false">IFERROR(IF(M99&gt;0,ROUNDUP(Premissas!$B$12/M99,0),"sem lucro"),"")</f>
        <v>193</v>
      </c>
      <c r="S99" s="15" t="s">
        <v>82</v>
      </c>
      <c r="T99" s="23" t="s">
        <v>76</v>
      </c>
      <c r="U99" s="15"/>
      <c r="V99" s="18" t="n">
        <f aca="false">IF(AND(T99="S",ISNUMBER(L99),ISNUMBER(F99)),L99*F99*X99,0)</f>
        <v>0</v>
      </c>
      <c r="W99" s="18" t="n">
        <f aca="false">IF(AND(T99="S",ISNUMBER(Q99)),Q99*X99,0)</f>
        <v>0</v>
      </c>
      <c r="X99" s="23" t="n">
        <v>1</v>
      </c>
      <c r="Y99" s="18" t="n">
        <f aca="false">IF(AND(T99="S",ISNUMBER(G99)),G99*X99,0)</f>
        <v>0</v>
      </c>
    </row>
    <row r="100" customFormat="false" ht="15" hidden="false" customHeight="false" outlineLevel="0" collapsed="false">
      <c r="A100" s="14" t="s">
        <v>356</v>
      </c>
      <c r="B100" s="15" t="s">
        <v>357</v>
      </c>
      <c r="C100" s="14" t="s">
        <v>195</v>
      </c>
      <c r="D100" s="14" t="s">
        <v>117</v>
      </c>
      <c r="E100" s="14" t="n">
        <v>8</v>
      </c>
      <c r="F100" s="16" t="n">
        <v>24</v>
      </c>
      <c r="G100" s="17" t="n">
        <v>129.3</v>
      </c>
      <c r="H100" s="18" t="n">
        <f aca="false">IF(ISNUMBER(G100),IFERROR(G100/F100,""),"")</f>
        <v>5.3875</v>
      </c>
      <c r="I100" s="17" t="n">
        <v>12.9</v>
      </c>
      <c r="J100" s="17" t="n">
        <v>12.9</v>
      </c>
      <c r="K100" s="19" t="s">
        <v>64</v>
      </c>
      <c r="L100" s="20" t="n">
        <v>12.9</v>
      </c>
      <c r="M100" s="18" t="n">
        <f aca="false">IFERROR(L100*(1-Premissas!$B$5)*(1-Premissas!$B$6)-H100-Premissas!$B$7,"")</f>
        <v>5.74495</v>
      </c>
      <c r="N100" s="21" t="n">
        <f aca="false">IFERROR(M100/L100,"")</f>
        <v>0.44534496124031</v>
      </c>
      <c r="O100" s="18" t="n">
        <f aca="false">IFERROR(L100*(1-Premissas!$B$8)-Premissas!$B$9-H100-Premissas!$B$7,"")</f>
        <v>-1.2855</v>
      </c>
      <c r="P100" s="18" t="n">
        <f aca="false">IFERROR(L100*(1-Premissas!$B$10)-Premissas!$B$11-H100-Premissas!$B$7,"")</f>
        <v>-0.0674999999999999</v>
      </c>
      <c r="Q100" s="18" t="n">
        <f aca="false">IFERROR(M100*F100,"")</f>
        <v>137.8788</v>
      </c>
      <c r="R100" s="22" t="n">
        <f aca="false">IFERROR(IF(M100&gt;0,ROUNDUP(Premissas!$B$12/M100,0),"sem lucro"),"")</f>
        <v>175</v>
      </c>
      <c r="S100" s="15" t="s">
        <v>252</v>
      </c>
      <c r="T100" s="23" t="s">
        <v>76</v>
      </c>
      <c r="U100" s="15"/>
      <c r="V100" s="18" t="n">
        <f aca="false">IF(AND(T100="S",ISNUMBER(L100),ISNUMBER(F100)),L100*F100*X100,0)</f>
        <v>0</v>
      </c>
      <c r="W100" s="18" t="n">
        <f aca="false">IF(AND(T100="S",ISNUMBER(Q100)),Q100*X100,0)</f>
        <v>0</v>
      </c>
      <c r="X100" s="23" t="n">
        <v>1</v>
      </c>
      <c r="Y100" s="18" t="n">
        <f aca="false">IF(AND(T100="S",ISNUMBER(G100)),G100*X100,0)</f>
        <v>0</v>
      </c>
    </row>
    <row r="101" customFormat="false" ht="26.85" hidden="false" customHeight="false" outlineLevel="0" collapsed="false">
      <c r="A101" s="14" t="s">
        <v>358</v>
      </c>
      <c r="B101" s="15" t="s">
        <v>359</v>
      </c>
      <c r="C101" s="14" t="s">
        <v>360</v>
      </c>
      <c r="D101" s="14" t="s">
        <v>117</v>
      </c>
      <c r="E101" s="14" t="n">
        <v>8</v>
      </c>
      <c r="F101" s="16" t="n">
        <v>24</v>
      </c>
      <c r="G101" s="17" t="n">
        <v>160.4</v>
      </c>
      <c r="H101" s="18" t="n">
        <f aca="false">IF(ISNUMBER(G101),IFERROR(G101/F101,""),"")</f>
        <v>6.68333333333333</v>
      </c>
      <c r="I101" s="17" t="n">
        <v>14.9</v>
      </c>
      <c r="J101" s="17" t="n">
        <v>14.9</v>
      </c>
      <c r="K101" s="19" t="s">
        <v>64</v>
      </c>
      <c r="L101" s="20" t="n">
        <v>14.9</v>
      </c>
      <c r="M101" s="18" t="n">
        <f aca="false">IFERROR(L101*(1-Premissas!$B$5)*(1-Premissas!$B$6)-H101-Premissas!$B$7,"")</f>
        <v>6.33011666666667</v>
      </c>
      <c r="N101" s="21" t="n">
        <f aca="false">IFERROR(M101/L101,"")</f>
        <v>0.424840044742729</v>
      </c>
      <c r="O101" s="18" t="n">
        <f aca="false">IFERROR(L101*(1-Premissas!$B$8)-Premissas!$B$9-H101-Premissas!$B$7,"")</f>
        <v>-0.821333333333334</v>
      </c>
      <c r="P101" s="18" t="n">
        <f aca="false">IFERROR(L101*(1-Premissas!$B$10)-Premissas!$B$11-H101-Premissas!$B$7,"")</f>
        <v>0.236666666666668</v>
      </c>
      <c r="Q101" s="18" t="n">
        <f aca="false">IFERROR(M101*F101,"")</f>
        <v>151.9228</v>
      </c>
      <c r="R101" s="22" t="n">
        <f aca="false">IFERROR(IF(M101&gt;0,ROUNDUP(Premissas!$B$12/M101,0),"sem lucro"),"")</f>
        <v>158</v>
      </c>
      <c r="S101" s="15" t="s">
        <v>361</v>
      </c>
      <c r="T101" s="23" t="s">
        <v>76</v>
      </c>
      <c r="U101" s="15" t="s">
        <v>362</v>
      </c>
      <c r="V101" s="18" t="n">
        <f aca="false">IF(AND(T101="S",ISNUMBER(L101),ISNUMBER(F101)),L101*F101*X101,0)</f>
        <v>0</v>
      </c>
      <c r="W101" s="18" t="n">
        <f aca="false">IF(AND(T101="S",ISNUMBER(Q101)),Q101*X101,0)</f>
        <v>0</v>
      </c>
      <c r="X101" s="23" t="n">
        <v>1</v>
      </c>
      <c r="Y101" s="18" t="n">
        <f aca="false">IF(AND(T101="S",ISNUMBER(G101)),G101*X101,0)</f>
        <v>0</v>
      </c>
    </row>
    <row r="102" customFormat="false" ht="15" hidden="false" customHeight="false" outlineLevel="0" collapsed="false">
      <c r="A102" s="14" t="s">
        <v>363</v>
      </c>
      <c r="B102" s="15" t="s">
        <v>364</v>
      </c>
      <c r="C102" s="14" t="s">
        <v>153</v>
      </c>
      <c r="D102" s="14" t="s">
        <v>117</v>
      </c>
      <c r="E102" s="14" t="n">
        <v>8</v>
      </c>
      <c r="F102" s="16" t="n">
        <v>24</v>
      </c>
      <c r="G102" s="17" t="n">
        <v>147.2</v>
      </c>
      <c r="H102" s="18" t="n">
        <f aca="false">IF(ISNUMBER(G102),IFERROR(G102/F102,""),"")</f>
        <v>6.13333333333333</v>
      </c>
      <c r="I102" s="17" t="n">
        <v>12.9</v>
      </c>
      <c r="J102" s="17" t="n">
        <v>12.9</v>
      </c>
      <c r="K102" s="19" t="s">
        <v>64</v>
      </c>
      <c r="L102" s="20" t="n">
        <v>12.9</v>
      </c>
      <c r="M102" s="18" t="n">
        <f aca="false">IFERROR(L102*(1-Premissas!$B$5)*(1-Premissas!$B$6)-H102-Premissas!$B$7,"")</f>
        <v>4.99911666666667</v>
      </c>
      <c r="N102" s="21" t="n">
        <f aca="false">IFERROR(M102/L102,"")</f>
        <v>0.38752842377261</v>
      </c>
      <c r="O102" s="18" t="n">
        <f aca="false">IFERROR(L102*(1-Premissas!$B$8)-Premissas!$B$9-H102-Premissas!$B$7,"")</f>
        <v>-2.03133333333333</v>
      </c>
      <c r="P102" s="18" t="n">
        <f aca="false">IFERROR(L102*(1-Premissas!$B$10)-Premissas!$B$11-H102-Premissas!$B$7,"")</f>
        <v>-0.813333333333333</v>
      </c>
      <c r="Q102" s="18" t="n">
        <f aca="false">IFERROR(M102*F102,"")</f>
        <v>119.9788</v>
      </c>
      <c r="R102" s="22" t="n">
        <f aca="false">IFERROR(IF(M102&gt;0,ROUNDUP(Premissas!$B$12/M102,0),"sem lucro"),"")</f>
        <v>201</v>
      </c>
      <c r="S102" s="15" t="s">
        <v>252</v>
      </c>
      <c r="T102" s="23" t="s">
        <v>76</v>
      </c>
      <c r="U102" s="15"/>
      <c r="V102" s="18" t="n">
        <f aca="false">IF(AND(T102="S",ISNUMBER(L102),ISNUMBER(F102)),L102*F102*X102,0)</f>
        <v>0</v>
      </c>
      <c r="W102" s="18" t="n">
        <f aca="false">IF(AND(T102="S",ISNUMBER(Q102)),Q102*X102,0)</f>
        <v>0</v>
      </c>
      <c r="X102" s="23" t="n">
        <v>1</v>
      </c>
      <c r="Y102" s="18" t="n">
        <f aca="false">IF(AND(T102="S",ISNUMBER(G102)),G102*X102,0)</f>
        <v>0</v>
      </c>
    </row>
    <row r="103" customFormat="false" ht="15" hidden="false" customHeight="false" outlineLevel="0" collapsed="false">
      <c r="A103" s="14" t="s">
        <v>365</v>
      </c>
      <c r="B103" s="15" t="s">
        <v>366</v>
      </c>
      <c r="C103" s="14" t="s">
        <v>153</v>
      </c>
      <c r="D103" s="14" t="s">
        <v>157</v>
      </c>
      <c r="E103" s="14" t="n">
        <v>8</v>
      </c>
      <c r="F103" s="16" t="n">
        <v>24</v>
      </c>
      <c r="G103" s="17" t="n">
        <v>135.9</v>
      </c>
      <c r="H103" s="18" t="n">
        <f aca="false">IF(ISNUMBER(G103),IFERROR(G103/F103,""),"")</f>
        <v>5.6625</v>
      </c>
      <c r="I103" s="17" t="n">
        <v>12.9</v>
      </c>
      <c r="J103" s="17" t="n">
        <v>12.9</v>
      </c>
      <c r="K103" s="19" t="s">
        <v>64</v>
      </c>
      <c r="L103" s="20" t="n">
        <v>12.9</v>
      </c>
      <c r="M103" s="18" t="n">
        <f aca="false">IFERROR(L103*(1-Premissas!$B$5)*(1-Premissas!$B$6)-H103-Premissas!$B$7,"")</f>
        <v>5.46995</v>
      </c>
      <c r="N103" s="21" t="n">
        <f aca="false">IFERROR(M103/L103,"")</f>
        <v>0.424027131782946</v>
      </c>
      <c r="O103" s="18" t="n">
        <f aca="false">IFERROR(L103*(1-Premissas!$B$8)-Premissas!$B$9-H103-Premissas!$B$7,"")</f>
        <v>-1.5605</v>
      </c>
      <c r="P103" s="18" t="n">
        <f aca="false">IFERROR(L103*(1-Premissas!$B$10)-Premissas!$B$11-H103-Premissas!$B$7,"")</f>
        <v>-0.3425</v>
      </c>
      <c r="Q103" s="18" t="n">
        <f aca="false">IFERROR(M103*F103,"")</f>
        <v>131.2788</v>
      </c>
      <c r="R103" s="22" t="n">
        <f aca="false">IFERROR(IF(M103&gt;0,ROUNDUP(Premissas!$B$12/M103,0),"sem lucro"),"")</f>
        <v>183</v>
      </c>
      <c r="S103" s="15" t="s">
        <v>82</v>
      </c>
      <c r="T103" s="23" t="s">
        <v>76</v>
      </c>
      <c r="U103" s="15" t="s">
        <v>367</v>
      </c>
      <c r="V103" s="18" t="n">
        <f aca="false">IF(AND(T103="S",ISNUMBER(L103),ISNUMBER(F103)),L103*F103*X103,0)</f>
        <v>0</v>
      </c>
      <c r="W103" s="18" t="n">
        <f aca="false">IF(AND(T103="S",ISNUMBER(Q103)),Q103*X103,0)</f>
        <v>0</v>
      </c>
      <c r="X103" s="23" t="n">
        <v>1</v>
      </c>
      <c r="Y103" s="18" t="n">
        <f aca="false">IF(AND(T103="S",ISNUMBER(G103)),G103*X103,0)</f>
        <v>0</v>
      </c>
    </row>
    <row r="104" customFormat="false" ht="15" hidden="false" customHeight="false" outlineLevel="0" collapsed="false">
      <c r="A104" s="14" t="s">
        <v>368</v>
      </c>
      <c r="B104" s="15" t="s">
        <v>369</v>
      </c>
      <c r="C104" s="14" t="s">
        <v>320</v>
      </c>
      <c r="D104" s="14" t="s">
        <v>117</v>
      </c>
      <c r="E104" s="14" t="n">
        <v>8</v>
      </c>
      <c r="F104" s="16" t="n">
        <v>1</v>
      </c>
      <c r="G104" s="17" t="n">
        <v>5.7</v>
      </c>
      <c r="H104" s="18" t="n">
        <f aca="false">IF(ISNUMBER(G104),IFERROR(G104/F104,""),"")</f>
        <v>5.7</v>
      </c>
      <c r="I104" s="17" t="n">
        <v>5.5</v>
      </c>
      <c r="J104" s="17" t="n">
        <v>9.09</v>
      </c>
      <c r="K104" s="14" t="s">
        <v>93</v>
      </c>
      <c r="L104" s="20" t="n">
        <v>9.9</v>
      </c>
      <c r="M104" s="18" t="n">
        <f aca="false">IFERROR(L104*(1-Premissas!$B$5)*(1-Premissas!$B$6)-H104-Premissas!$B$7,"")</f>
        <v>2.61095</v>
      </c>
      <c r="N104" s="21" t="n">
        <f aca="false">IFERROR(M104/L104,"")</f>
        <v>0.263732323232323</v>
      </c>
      <c r="O104" s="18" t="n">
        <f aca="false">IFERROR(L104*(1-Premissas!$B$8)-Premissas!$B$9-H104-Premissas!$B$7,"")</f>
        <v>-4.238</v>
      </c>
      <c r="P104" s="18" t="n">
        <f aca="false">IFERROR(L104*(1-Premissas!$B$10)-Premissas!$B$11-H104-Premissas!$B$7,"")</f>
        <v>-2.78</v>
      </c>
      <c r="Q104" s="18" t="n">
        <f aca="false">IFERROR(M104*F104,"")</f>
        <v>2.61095</v>
      </c>
      <c r="R104" s="22" t="n">
        <f aca="false">IFERROR(IF(M104&gt;0,ROUNDUP(Premissas!$B$12/M104,0),"sem lucro"),"")</f>
        <v>384</v>
      </c>
      <c r="S104" s="15" t="s">
        <v>111</v>
      </c>
      <c r="T104" s="23" t="s">
        <v>76</v>
      </c>
      <c r="U104" s="15" t="s">
        <v>370</v>
      </c>
      <c r="V104" s="18" t="n">
        <f aca="false">IF(AND(T104="S",ISNUMBER(L104),ISNUMBER(F104)),L104*F104*X104,0)</f>
        <v>0</v>
      </c>
      <c r="W104" s="18" t="n">
        <f aca="false">IF(AND(T104="S",ISNUMBER(Q104)),Q104*X104,0)</f>
        <v>0</v>
      </c>
      <c r="X104" s="23" t="n">
        <v>12</v>
      </c>
      <c r="Y104" s="18" t="n">
        <f aca="false">IF(AND(T104="S",ISNUMBER(G104)),G104*X104,0)</f>
        <v>0</v>
      </c>
    </row>
    <row r="105" customFormat="false" ht="15" hidden="false" customHeight="false" outlineLevel="0" collapsed="false">
      <c r="A105" s="14" t="s">
        <v>371</v>
      </c>
      <c r="B105" s="15" t="s">
        <v>372</v>
      </c>
      <c r="C105" s="14" t="s">
        <v>320</v>
      </c>
      <c r="D105" s="14" t="s">
        <v>125</v>
      </c>
      <c r="E105" s="14" t="n">
        <v>8</v>
      </c>
      <c r="F105" s="16" t="n">
        <v>24</v>
      </c>
      <c r="G105" s="17" t="n">
        <v>123.7</v>
      </c>
      <c r="H105" s="18" t="n">
        <f aca="false">IF(ISNUMBER(G105),IFERROR(G105/F105,""),"")</f>
        <v>5.15416666666667</v>
      </c>
      <c r="I105" s="17" t="n">
        <v>12.9</v>
      </c>
      <c r="J105" s="17" t="n">
        <v>12.9</v>
      </c>
      <c r="K105" s="19" t="s">
        <v>64</v>
      </c>
      <c r="L105" s="20" t="n">
        <v>12.9</v>
      </c>
      <c r="M105" s="18" t="n">
        <f aca="false">IFERROR(L105*(1-Premissas!$B$5)*(1-Premissas!$B$6)-H105-Premissas!$B$7,"")</f>
        <v>5.97828333333333</v>
      </c>
      <c r="N105" s="21" t="n">
        <f aca="false">IFERROR(M105/L105,"")</f>
        <v>0.463432816537468</v>
      </c>
      <c r="O105" s="18" t="n">
        <f aca="false">IFERROR(L105*(1-Premissas!$B$8)-Premissas!$B$9-H105-Premissas!$B$7,"")</f>
        <v>-1.05216666666667</v>
      </c>
      <c r="P105" s="18" t="n">
        <f aca="false">IFERROR(L105*(1-Premissas!$B$10)-Premissas!$B$11-H105-Premissas!$B$7,"")</f>
        <v>0.165833333333334</v>
      </c>
      <c r="Q105" s="18" t="n">
        <f aca="false">IFERROR(M105*F105,"")</f>
        <v>143.4788</v>
      </c>
      <c r="R105" s="22" t="n">
        <f aca="false">IFERROR(IF(M105&gt;0,ROUNDUP(Premissas!$B$12/M105,0),"sem lucro"),"")</f>
        <v>168</v>
      </c>
      <c r="S105" s="15" t="s">
        <v>82</v>
      </c>
      <c r="T105" s="23" t="s">
        <v>76</v>
      </c>
      <c r="U105" s="15"/>
      <c r="V105" s="18" t="n">
        <f aca="false">IF(AND(T105="S",ISNUMBER(L105),ISNUMBER(F105)),L105*F105*X105,0)</f>
        <v>0</v>
      </c>
      <c r="W105" s="18" t="n">
        <f aca="false">IF(AND(T105="S",ISNUMBER(Q105)),Q105*X105,0)</f>
        <v>0</v>
      </c>
      <c r="X105" s="23" t="n">
        <v>1</v>
      </c>
      <c r="Y105" s="18" t="n">
        <f aca="false">IF(AND(T105="S",ISNUMBER(G105)),G105*X105,0)</f>
        <v>0</v>
      </c>
    </row>
    <row r="106" customFormat="false" ht="15" hidden="false" customHeight="false" outlineLevel="0" collapsed="false">
      <c r="A106" s="14" t="s">
        <v>373</v>
      </c>
      <c r="B106" s="15" t="s">
        <v>374</v>
      </c>
      <c r="C106" s="14" t="s">
        <v>320</v>
      </c>
      <c r="D106" s="14" t="s">
        <v>125</v>
      </c>
      <c r="E106" s="14" t="n">
        <v>8</v>
      </c>
      <c r="F106" s="16" t="n">
        <v>24</v>
      </c>
      <c r="G106" s="17" t="n">
        <v>123.7</v>
      </c>
      <c r="H106" s="18" t="n">
        <f aca="false">IF(ISNUMBER(G106),IFERROR(G106/F106,""),"")</f>
        <v>5.15416666666667</v>
      </c>
      <c r="I106" s="17" t="n">
        <v>12.9</v>
      </c>
      <c r="J106" s="17" t="n">
        <v>12.9</v>
      </c>
      <c r="K106" s="19" t="s">
        <v>64</v>
      </c>
      <c r="L106" s="20" t="n">
        <v>12.9</v>
      </c>
      <c r="M106" s="18" t="n">
        <f aca="false">IFERROR(L106*(1-Premissas!$B$5)*(1-Premissas!$B$6)-H106-Premissas!$B$7,"")</f>
        <v>5.97828333333333</v>
      </c>
      <c r="N106" s="21" t="n">
        <f aca="false">IFERROR(M106/L106,"")</f>
        <v>0.463432816537468</v>
      </c>
      <c r="O106" s="18" t="n">
        <f aca="false">IFERROR(L106*(1-Premissas!$B$8)-Premissas!$B$9-H106-Premissas!$B$7,"")</f>
        <v>-1.05216666666667</v>
      </c>
      <c r="P106" s="18" t="n">
        <f aca="false">IFERROR(L106*(1-Premissas!$B$10)-Premissas!$B$11-H106-Premissas!$B$7,"")</f>
        <v>0.165833333333334</v>
      </c>
      <c r="Q106" s="18" t="n">
        <f aca="false">IFERROR(M106*F106,"")</f>
        <v>143.4788</v>
      </c>
      <c r="R106" s="22" t="n">
        <f aca="false">IFERROR(IF(M106&gt;0,ROUNDUP(Premissas!$B$12/M106,0),"sem lucro"),"")</f>
        <v>168</v>
      </c>
      <c r="S106" s="15" t="s">
        <v>375</v>
      </c>
      <c r="T106" s="23" t="s">
        <v>66</v>
      </c>
      <c r="U106" s="15" t="s">
        <v>376</v>
      </c>
      <c r="V106" s="18" t="n">
        <f aca="false">IF(AND(T106="S",ISNUMBER(L106),ISNUMBER(F106)),L106*F106*X106,0)</f>
        <v>309.6</v>
      </c>
      <c r="W106" s="18" t="n">
        <f aca="false">IF(AND(T106="S",ISNUMBER(Q106)),Q106*X106,0)</f>
        <v>143.4788</v>
      </c>
      <c r="X106" s="23" t="n">
        <v>1</v>
      </c>
      <c r="Y106" s="18" t="n">
        <f aca="false">IF(AND(T106="S",ISNUMBER(G106)),G106*X106,0)</f>
        <v>123.7</v>
      </c>
    </row>
    <row r="107" customFormat="false" ht="15" hidden="false" customHeight="false" outlineLevel="0" collapsed="false">
      <c r="A107" s="14" t="s">
        <v>377</v>
      </c>
      <c r="B107" s="15" t="s">
        <v>378</v>
      </c>
      <c r="C107" s="14" t="s">
        <v>320</v>
      </c>
      <c r="D107" s="14" t="s">
        <v>117</v>
      </c>
      <c r="E107" s="14" t="n">
        <v>8</v>
      </c>
      <c r="F107" s="16" t="n">
        <v>1</v>
      </c>
      <c r="G107" s="17" t="n">
        <v>5.2</v>
      </c>
      <c r="H107" s="18" t="n">
        <f aca="false">IF(ISNUMBER(G107),IFERROR(G107/F107,""),"")</f>
        <v>5.2</v>
      </c>
      <c r="I107" s="17" t="n">
        <v>11.5</v>
      </c>
      <c r="J107" s="17" t="n">
        <v>11.5</v>
      </c>
      <c r="K107" s="14" t="s">
        <v>93</v>
      </c>
      <c r="L107" s="20" t="n">
        <v>11.9</v>
      </c>
      <c r="M107" s="18" t="n">
        <f aca="false">IFERROR(L107*(1-Premissas!$B$5)*(1-Premissas!$B$6)-H107-Premissas!$B$7,"")</f>
        <v>4.99195</v>
      </c>
      <c r="N107" s="21" t="n">
        <f aca="false">IFERROR(M107/L107,"")</f>
        <v>0.419491596638656</v>
      </c>
      <c r="O107" s="18" t="n">
        <f aca="false">IFERROR(L107*(1-Premissas!$B$8)-Premissas!$B$9-H107-Premissas!$B$7,"")</f>
        <v>-1.978</v>
      </c>
      <c r="P107" s="18" t="n">
        <f aca="false">IFERROR(L107*(1-Premissas!$B$10)-Premissas!$B$11-H107-Premissas!$B$7,"")</f>
        <v>-0.679999999999999</v>
      </c>
      <c r="Q107" s="18" t="n">
        <f aca="false">IFERROR(M107*F107,"")</f>
        <v>4.99195</v>
      </c>
      <c r="R107" s="22" t="n">
        <f aca="false">IFERROR(IF(M107&gt;0,ROUNDUP(Premissas!$B$12/M107,0),"sem lucro"),"")</f>
        <v>201</v>
      </c>
      <c r="S107" s="15" t="s">
        <v>82</v>
      </c>
      <c r="T107" s="23" t="s">
        <v>76</v>
      </c>
      <c r="U107" s="15" t="s">
        <v>379</v>
      </c>
      <c r="V107" s="18" t="n">
        <f aca="false">IF(AND(T107="S",ISNUMBER(L107),ISNUMBER(F107)),L107*F107*X107,0)</f>
        <v>0</v>
      </c>
      <c r="W107" s="18" t="n">
        <f aca="false">IF(AND(T107="S",ISNUMBER(Q107)),Q107*X107,0)</f>
        <v>0</v>
      </c>
      <c r="X107" s="23" t="n">
        <v>12</v>
      </c>
      <c r="Y107" s="18" t="n">
        <f aca="false">IF(AND(T107="S",ISNUMBER(G107)),G107*X107,0)</f>
        <v>0</v>
      </c>
    </row>
    <row r="108" customFormat="false" ht="15" hidden="false" customHeight="false" outlineLevel="0" collapsed="false">
      <c r="A108" s="14" t="s">
        <v>380</v>
      </c>
      <c r="B108" s="15" t="s">
        <v>381</v>
      </c>
      <c r="C108" s="14" t="s">
        <v>178</v>
      </c>
      <c r="D108" s="14" t="s">
        <v>117</v>
      </c>
      <c r="E108" s="14" t="n">
        <v>8</v>
      </c>
      <c r="F108" s="16" t="n">
        <v>24</v>
      </c>
      <c r="G108" s="17" t="n">
        <v>139.99</v>
      </c>
      <c r="H108" s="18" t="n">
        <f aca="false">IF(ISNUMBER(G108),IFERROR(G108/F108,""),"")</f>
        <v>5.83291666666667</v>
      </c>
      <c r="I108" s="17" t="n">
        <v>7.52</v>
      </c>
      <c r="J108" s="17" t="n">
        <v>10</v>
      </c>
      <c r="K108" s="19" t="s">
        <v>64</v>
      </c>
      <c r="L108" s="20" t="n">
        <v>11.9</v>
      </c>
      <c r="M108" s="18" t="n">
        <f aca="false">IFERROR(L108*(1-Premissas!$B$5)*(1-Premissas!$B$6)-H108-Premissas!$B$7,"")</f>
        <v>4.35903333333333</v>
      </c>
      <c r="N108" s="21" t="n">
        <f aca="false">IFERROR(M108/L108,"")</f>
        <v>0.366305322128852</v>
      </c>
      <c r="O108" s="18" t="n">
        <f aca="false">IFERROR(L108*(1-Premissas!$B$8)-Premissas!$B$9-H108-Premissas!$B$7,"")</f>
        <v>-2.61091666666667</v>
      </c>
      <c r="P108" s="18" t="n">
        <f aca="false">IFERROR(L108*(1-Premissas!$B$10)-Premissas!$B$11-H108-Premissas!$B$7,"")</f>
        <v>-1.31291666666667</v>
      </c>
      <c r="Q108" s="18" t="n">
        <f aca="false">IFERROR(M108*F108,"")</f>
        <v>104.6168</v>
      </c>
      <c r="R108" s="22" t="n">
        <f aca="false">IFERROR(IF(M108&gt;0,ROUNDUP(Premissas!$B$12/M108,0),"sem lucro"),"")</f>
        <v>230</v>
      </c>
      <c r="S108" s="15" t="s">
        <v>252</v>
      </c>
      <c r="T108" s="23" t="s">
        <v>76</v>
      </c>
      <c r="U108" s="15"/>
      <c r="V108" s="18" t="n">
        <f aca="false">IF(AND(T108="S",ISNUMBER(L108),ISNUMBER(F108)),L108*F108*X108,0)</f>
        <v>0</v>
      </c>
      <c r="W108" s="18" t="n">
        <f aca="false">IF(AND(T108="S",ISNUMBER(Q108)),Q108*X108,0)</f>
        <v>0</v>
      </c>
      <c r="X108" s="23" t="n">
        <v>1</v>
      </c>
      <c r="Y108" s="18" t="n">
        <f aca="false">IF(AND(T108="S",ISNUMBER(G108)),G108*X108,0)</f>
        <v>0</v>
      </c>
    </row>
    <row r="109" customFormat="false" ht="15" hidden="false" customHeight="false" outlineLevel="0" collapsed="false">
      <c r="A109" s="14" t="s">
        <v>382</v>
      </c>
      <c r="B109" s="15" t="s">
        <v>383</v>
      </c>
      <c r="C109" s="14" t="s">
        <v>178</v>
      </c>
      <c r="D109" s="14" t="s">
        <v>63</v>
      </c>
      <c r="E109" s="14" t="n">
        <v>8</v>
      </c>
      <c r="F109" s="16" t="n">
        <v>15</v>
      </c>
      <c r="G109" s="17" t="n">
        <v>76.8</v>
      </c>
      <c r="H109" s="18" t="n">
        <f aca="false">IF(ISNUMBER(G109),IFERROR(G109/F109,""),"")</f>
        <v>5.12</v>
      </c>
      <c r="I109" s="17" t="n">
        <v>12.9</v>
      </c>
      <c r="J109" s="17" t="n">
        <v>12.9</v>
      </c>
      <c r="K109" s="19" t="s">
        <v>64</v>
      </c>
      <c r="L109" s="20" t="n">
        <v>12.9</v>
      </c>
      <c r="M109" s="18" t="n">
        <f aca="false">IFERROR(L109*(1-Premissas!$B$5)*(1-Premissas!$B$6)-H109-Premissas!$B$7,"")</f>
        <v>6.01245</v>
      </c>
      <c r="N109" s="21" t="n">
        <f aca="false">IFERROR(M109/L109,"")</f>
        <v>0.466081395348837</v>
      </c>
      <c r="O109" s="18" t="n">
        <f aca="false">IFERROR(L109*(1-Premissas!$B$8)-Premissas!$B$9-H109-Premissas!$B$7,"")</f>
        <v>-1.018</v>
      </c>
      <c r="P109" s="18" t="n">
        <f aca="false">IFERROR(L109*(1-Premissas!$B$10)-Premissas!$B$11-H109-Premissas!$B$7,"")</f>
        <v>0.2</v>
      </c>
      <c r="Q109" s="18" t="n">
        <f aca="false">IFERROR(M109*F109,"")</f>
        <v>90.18675</v>
      </c>
      <c r="R109" s="22" t="n">
        <f aca="false">IFERROR(IF(M109&gt;0,ROUNDUP(Premissas!$B$12/M109,0),"sem lucro"),"")</f>
        <v>167</v>
      </c>
      <c r="S109" s="15" t="s">
        <v>82</v>
      </c>
      <c r="T109" s="23" t="s">
        <v>76</v>
      </c>
      <c r="U109" s="15" t="s">
        <v>384</v>
      </c>
      <c r="V109" s="18" t="n">
        <f aca="false">IF(AND(T109="S",ISNUMBER(L109),ISNUMBER(F109)),L109*F109*X109,0)</f>
        <v>0</v>
      </c>
      <c r="W109" s="18" t="n">
        <f aca="false">IF(AND(T109="S",ISNUMBER(Q109)),Q109*X109,0)</f>
        <v>0</v>
      </c>
      <c r="X109" s="23" t="n">
        <v>1</v>
      </c>
      <c r="Y109" s="18" t="n">
        <f aca="false">IF(AND(T109="S",ISNUMBER(G109)),G109*X109,0)</f>
        <v>0</v>
      </c>
    </row>
    <row r="110" customFormat="false" ht="26.85" hidden="false" customHeight="false" outlineLevel="0" collapsed="false">
      <c r="A110" s="14" t="s">
        <v>385</v>
      </c>
      <c r="B110" s="15" t="s">
        <v>386</v>
      </c>
      <c r="C110" s="14" t="s">
        <v>387</v>
      </c>
      <c r="D110" s="14" t="s">
        <v>141</v>
      </c>
      <c r="E110" s="14" t="n">
        <v>8</v>
      </c>
      <c r="F110" s="16" t="n">
        <v>1</v>
      </c>
      <c r="G110" s="17" t="n">
        <v>6.8</v>
      </c>
      <c r="H110" s="18" t="n">
        <f aca="false">IF(ISNUMBER(G110),IFERROR(G110/F110,""),"")</f>
        <v>6.8</v>
      </c>
      <c r="I110" s="17" t="n">
        <v>19.9</v>
      </c>
      <c r="J110" s="17" t="n">
        <v>24.9</v>
      </c>
      <c r="K110" s="19" t="s">
        <v>64</v>
      </c>
      <c r="L110" s="20" t="n">
        <v>22.9</v>
      </c>
      <c r="M110" s="18" t="n">
        <f aca="false">IFERROR(L110*(1-Premissas!$B$5)*(1-Premissas!$B$6)-H110-Premissas!$B$7,"")</f>
        <v>13.73745</v>
      </c>
      <c r="N110" s="21" t="n">
        <f aca="false">IFERROR(M110/L110,"")</f>
        <v>0.59988864628821</v>
      </c>
      <c r="O110" s="18" t="n">
        <f aca="false">IFERROR(L110*(1-Premissas!$B$8)-Premissas!$B$9-H110-Premissas!$B$7,"")</f>
        <v>6.102</v>
      </c>
      <c r="P110" s="18" t="n">
        <f aca="false">IFERROR(L110*(1-Premissas!$B$10)-Premissas!$B$11-H110-Premissas!$B$7,"")</f>
        <v>6.52</v>
      </c>
      <c r="Q110" s="18" t="n">
        <f aca="false">IFERROR(M110*F110,"")</f>
        <v>13.73745</v>
      </c>
      <c r="R110" s="22" t="n">
        <f aca="false">IFERROR(IF(M110&gt;0,ROUNDUP(Premissas!$B$12/M110,0),"sem lucro"),"")</f>
        <v>73</v>
      </c>
      <c r="S110" s="15" t="s">
        <v>82</v>
      </c>
      <c r="T110" s="23" t="s">
        <v>76</v>
      </c>
      <c r="U110" s="15" t="s">
        <v>388</v>
      </c>
      <c r="V110" s="18" t="n">
        <f aca="false">IF(AND(T110="S",ISNUMBER(L110),ISNUMBER(F110)),L110*F110*X110,0)</f>
        <v>0</v>
      </c>
      <c r="W110" s="18" t="n">
        <f aca="false">IF(AND(T110="S",ISNUMBER(Q110)),Q110*X110,0)</f>
        <v>0</v>
      </c>
      <c r="X110" s="23" t="n">
        <v>12</v>
      </c>
      <c r="Y110" s="18" t="n">
        <f aca="false">IF(AND(T110="S",ISNUMBER(G110)),G110*X110,0)</f>
        <v>0</v>
      </c>
    </row>
    <row r="111" customFormat="false" ht="15" hidden="false" customHeight="false" outlineLevel="0" collapsed="false">
      <c r="A111" s="14" t="s">
        <v>389</v>
      </c>
      <c r="B111" s="15" t="s">
        <v>390</v>
      </c>
      <c r="C111" s="14" t="s">
        <v>133</v>
      </c>
      <c r="D111" s="14" t="s">
        <v>117</v>
      </c>
      <c r="E111" s="14" t="n">
        <v>9</v>
      </c>
      <c r="F111" s="16" t="n">
        <v>24</v>
      </c>
      <c r="G111" s="17" t="n">
        <v>130.99</v>
      </c>
      <c r="H111" s="18" t="n">
        <f aca="false">IF(ISNUMBER(G111),IFERROR(G111/F111,""),"")</f>
        <v>5.45791666666667</v>
      </c>
      <c r="I111" s="17" t="n">
        <v>9</v>
      </c>
      <c r="J111" s="17" t="n">
        <v>10</v>
      </c>
      <c r="K111" s="14" t="s">
        <v>93</v>
      </c>
      <c r="L111" s="20" t="n">
        <v>9.9</v>
      </c>
      <c r="M111" s="18" t="n">
        <f aca="false">IFERROR(L111*(1-Premissas!$B$5)*(1-Premissas!$B$6)-H111-Premissas!$B$7,"")</f>
        <v>2.85303333333333</v>
      </c>
      <c r="N111" s="21" t="n">
        <f aca="false">IFERROR(M111/L111,"")</f>
        <v>0.288185185185185</v>
      </c>
      <c r="O111" s="18" t="n">
        <f aca="false">IFERROR(L111*(1-Premissas!$B$8)-Premissas!$B$9-H111-Premissas!$B$7,"")</f>
        <v>-3.99591666666667</v>
      </c>
      <c r="P111" s="18" t="n">
        <f aca="false">IFERROR(L111*(1-Premissas!$B$10)-Premissas!$B$11-H111-Premissas!$B$7,"")</f>
        <v>-2.53791666666667</v>
      </c>
      <c r="Q111" s="18" t="n">
        <f aca="false">IFERROR(M111*F111,"")</f>
        <v>68.4728</v>
      </c>
      <c r="R111" s="22" t="n">
        <f aca="false">IFERROR(IF(M111&gt;0,ROUNDUP(Premissas!$B$12/M111,0),"sem lucro"),"")</f>
        <v>351</v>
      </c>
      <c r="S111" s="15" t="s">
        <v>391</v>
      </c>
      <c r="T111" s="23" t="s">
        <v>76</v>
      </c>
      <c r="U111" s="15" t="s">
        <v>392</v>
      </c>
      <c r="V111" s="18" t="n">
        <f aca="false">IF(AND(T111="S",ISNUMBER(L111),ISNUMBER(F111)),L111*F111*X111,0)</f>
        <v>0</v>
      </c>
      <c r="W111" s="18" t="n">
        <f aca="false">IF(AND(T111="S",ISNUMBER(Q111)),Q111*X111,0)</f>
        <v>0</v>
      </c>
      <c r="X111" s="23" t="n">
        <v>1</v>
      </c>
      <c r="Y111" s="18" t="n">
        <f aca="false">IF(AND(T111="S",ISNUMBER(G111)),G111*X111,0)</f>
        <v>0</v>
      </c>
    </row>
    <row r="112" customFormat="false" ht="15" hidden="false" customHeight="false" outlineLevel="0" collapsed="false">
      <c r="A112" s="14" t="s">
        <v>393</v>
      </c>
      <c r="B112" s="15" t="s">
        <v>394</v>
      </c>
      <c r="C112" s="14" t="s">
        <v>395</v>
      </c>
      <c r="D112" s="14" t="s">
        <v>63</v>
      </c>
      <c r="E112" s="14" t="n">
        <v>9</v>
      </c>
      <c r="F112" s="16" t="n">
        <v>24</v>
      </c>
      <c r="G112" s="17" t="n">
        <v>116.7</v>
      </c>
      <c r="H112" s="18" t="n">
        <f aca="false">IF(ISNUMBER(G112),IFERROR(G112/F112,""),"")</f>
        <v>4.8625</v>
      </c>
      <c r="I112" s="17" t="n">
        <v>12.9</v>
      </c>
      <c r="J112" s="17" t="n">
        <v>12.9</v>
      </c>
      <c r="K112" s="19" t="s">
        <v>64</v>
      </c>
      <c r="L112" s="20" t="n">
        <v>12.9</v>
      </c>
      <c r="M112" s="18" t="n">
        <f aca="false">IFERROR(L112*(1-Premissas!$B$5)*(1-Premissas!$B$6)-H112-Premissas!$B$7,"")</f>
        <v>6.26995</v>
      </c>
      <c r="N112" s="21" t="n">
        <f aca="false">IFERROR(M112/L112,"")</f>
        <v>0.486042635658915</v>
      </c>
      <c r="O112" s="18" t="n">
        <f aca="false">IFERROR(L112*(1-Premissas!$B$8)-Premissas!$B$9-H112-Premissas!$B$7,"")</f>
        <v>-0.7605</v>
      </c>
      <c r="P112" s="18" t="n">
        <f aca="false">IFERROR(L112*(1-Premissas!$B$10)-Premissas!$B$11-H112-Premissas!$B$7,"")</f>
        <v>0.4575</v>
      </c>
      <c r="Q112" s="18" t="n">
        <f aca="false">IFERROR(M112*F112,"")</f>
        <v>150.4788</v>
      </c>
      <c r="R112" s="22" t="n">
        <f aca="false">IFERROR(IF(M112&gt;0,ROUNDUP(Premissas!$B$12/M112,0),"sem lucro"),"")</f>
        <v>160</v>
      </c>
      <c r="S112" s="15" t="s">
        <v>82</v>
      </c>
      <c r="T112" s="23" t="s">
        <v>76</v>
      </c>
      <c r="U112" s="15" t="s">
        <v>396</v>
      </c>
      <c r="V112" s="18" t="n">
        <f aca="false">IF(AND(T112="S",ISNUMBER(L112),ISNUMBER(F112)),L112*F112*X112,0)</f>
        <v>0</v>
      </c>
      <c r="W112" s="18" t="n">
        <f aca="false">IF(AND(T112="S",ISNUMBER(Q112)),Q112*X112,0)</f>
        <v>0</v>
      </c>
      <c r="X112" s="23" t="n">
        <v>1</v>
      </c>
      <c r="Y112" s="18" t="n">
        <f aca="false">IF(AND(T112="S",ISNUMBER(G112)),G112*X112,0)</f>
        <v>0</v>
      </c>
    </row>
    <row r="113" customFormat="false" ht="15" hidden="false" customHeight="false" outlineLevel="0" collapsed="false">
      <c r="A113" s="14" t="s">
        <v>397</v>
      </c>
      <c r="B113" s="15" t="s">
        <v>398</v>
      </c>
      <c r="C113" s="14" t="s">
        <v>316</v>
      </c>
      <c r="D113" s="14" t="s">
        <v>117</v>
      </c>
      <c r="E113" s="14" t="n">
        <v>9</v>
      </c>
      <c r="F113" s="16" t="n">
        <v>24</v>
      </c>
      <c r="G113" s="17" t="n">
        <v>145.8</v>
      </c>
      <c r="H113" s="18" t="n">
        <f aca="false">IF(ISNUMBER(G113),IFERROR(G113/F113,""),"")</f>
        <v>6.075</v>
      </c>
      <c r="I113" s="17" t="n">
        <v>12.9</v>
      </c>
      <c r="J113" s="17" t="n">
        <v>12.9</v>
      </c>
      <c r="K113" s="19" t="s">
        <v>64</v>
      </c>
      <c r="L113" s="20" t="n">
        <v>12.9</v>
      </c>
      <c r="M113" s="18" t="n">
        <f aca="false">IFERROR(L113*(1-Premissas!$B$5)*(1-Premissas!$B$6)-H113-Premissas!$B$7,"")</f>
        <v>5.05745</v>
      </c>
      <c r="N113" s="21" t="n">
        <f aca="false">IFERROR(M113/L113,"")</f>
        <v>0.392050387596899</v>
      </c>
      <c r="O113" s="18" t="n">
        <f aca="false">IFERROR(L113*(1-Premissas!$B$8)-Premissas!$B$9-H113-Premissas!$B$7,"")</f>
        <v>-1.973</v>
      </c>
      <c r="P113" s="18" t="n">
        <f aca="false">IFERROR(L113*(1-Premissas!$B$10)-Premissas!$B$11-H113-Premissas!$B$7,"")</f>
        <v>-0.755</v>
      </c>
      <c r="Q113" s="18" t="n">
        <f aca="false">IFERROR(M113*F113,"")</f>
        <v>121.3788</v>
      </c>
      <c r="R113" s="22" t="n">
        <f aca="false">IFERROR(IF(M113&gt;0,ROUNDUP(Premissas!$B$12/M113,0),"sem lucro"),"")</f>
        <v>198</v>
      </c>
      <c r="S113" s="15" t="s">
        <v>252</v>
      </c>
      <c r="T113" s="23" t="s">
        <v>76</v>
      </c>
      <c r="U113" s="15" t="s">
        <v>399</v>
      </c>
      <c r="V113" s="18" t="n">
        <f aca="false">IF(AND(T113="S",ISNUMBER(L113),ISNUMBER(F113)),L113*F113*X113,0)</f>
        <v>0</v>
      </c>
      <c r="W113" s="18" t="n">
        <f aca="false">IF(AND(T113="S",ISNUMBER(Q113)),Q113*X113,0)</f>
        <v>0</v>
      </c>
      <c r="X113" s="23" t="n">
        <v>1</v>
      </c>
      <c r="Y113" s="18" t="n">
        <f aca="false">IF(AND(T113="S",ISNUMBER(G113)),G113*X113,0)</f>
        <v>0</v>
      </c>
    </row>
    <row r="114" customFormat="false" ht="15" hidden="false" customHeight="false" outlineLevel="0" collapsed="false">
      <c r="A114" s="14" t="s">
        <v>400</v>
      </c>
      <c r="B114" s="15" t="s">
        <v>401</v>
      </c>
      <c r="C114" s="14" t="s">
        <v>402</v>
      </c>
      <c r="D114" s="14" t="s">
        <v>117</v>
      </c>
      <c r="E114" s="14" t="n">
        <v>10</v>
      </c>
      <c r="F114" s="16" t="n">
        <v>1</v>
      </c>
      <c r="G114" s="17" t="n">
        <v>6.3</v>
      </c>
      <c r="H114" s="18" t="n">
        <f aca="false">IF(ISNUMBER(G114),IFERROR(G114/F114,""),"")</f>
        <v>6.3</v>
      </c>
      <c r="I114" s="17" t="n">
        <v>9.9</v>
      </c>
      <c r="J114" s="17" t="n">
        <v>9.9</v>
      </c>
      <c r="K114" s="19" t="s">
        <v>64</v>
      </c>
      <c r="L114" s="20" t="n">
        <v>9.9</v>
      </c>
      <c r="M114" s="18" t="n">
        <f aca="false">IFERROR(L114*(1-Premissas!$B$5)*(1-Premissas!$B$6)-H114-Premissas!$B$7,"")</f>
        <v>2.01095</v>
      </c>
      <c r="N114" s="21" t="n">
        <f aca="false">IFERROR(M114/L114,"")</f>
        <v>0.203126262626263</v>
      </c>
      <c r="O114" s="18" t="n">
        <f aca="false">IFERROR(L114*(1-Premissas!$B$8)-Premissas!$B$9-H114-Premissas!$B$7,"")</f>
        <v>-4.838</v>
      </c>
      <c r="P114" s="18" t="n">
        <f aca="false">IFERROR(L114*(1-Premissas!$B$10)-Premissas!$B$11-H114-Premissas!$B$7,"")</f>
        <v>-3.38</v>
      </c>
      <c r="Q114" s="18" t="n">
        <f aca="false">IFERROR(M114*F114,"")</f>
        <v>2.01095</v>
      </c>
      <c r="R114" s="22" t="n">
        <f aca="false">IFERROR(IF(M114&gt;0,ROUNDUP(Premissas!$B$12/M114,0),"sem lucro"),"")</f>
        <v>498</v>
      </c>
      <c r="S114" s="15" t="s">
        <v>403</v>
      </c>
      <c r="T114" s="23" t="s">
        <v>76</v>
      </c>
      <c r="U114" s="15"/>
      <c r="V114" s="18" t="n">
        <f aca="false">IF(AND(T114="S",ISNUMBER(L114),ISNUMBER(F114)),L114*F114*X114,0)</f>
        <v>0</v>
      </c>
      <c r="W114" s="18" t="n">
        <f aca="false">IF(AND(T114="S",ISNUMBER(Q114)),Q114*X114,0)</f>
        <v>0</v>
      </c>
      <c r="X114" s="23" t="n">
        <v>12</v>
      </c>
      <c r="Y114" s="18" t="n">
        <f aca="false">IF(AND(T114="S",ISNUMBER(G114)),G114*X114,0)</f>
        <v>0</v>
      </c>
    </row>
    <row r="115" customFormat="false" ht="15" hidden="false" customHeight="false" outlineLevel="0" collapsed="false">
      <c r="A115" s="14" t="s">
        <v>404</v>
      </c>
      <c r="B115" s="15" t="s">
        <v>405</v>
      </c>
      <c r="C115" s="14" t="s">
        <v>402</v>
      </c>
      <c r="D115" s="14" t="s">
        <v>117</v>
      </c>
      <c r="E115" s="14" t="n">
        <v>10</v>
      </c>
      <c r="F115" s="16" t="n">
        <v>36</v>
      </c>
      <c r="G115" s="17" t="n">
        <v>198.6</v>
      </c>
      <c r="H115" s="18" t="n">
        <f aca="false">IF(ISNUMBER(G115),IFERROR(G115/F115,""),"")</f>
        <v>5.51666666666667</v>
      </c>
      <c r="I115" s="17" t="n">
        <v>12.9</v>
      </c>
      <c r="J115" s="17" t="n">
        <v>12.9</v>
      </c>
      <c r="K115" s="19" t="s">
        <v>64</v>
      </c>
      <c r="L115" s="20" t="n">
        <v>12.9</v>
      </c>
      <c r="M115" s="18" t="n">
        <f aca="false">IFERROR(L115*(1-Premissas!$B$5)*(1-Premissas!$B$6)-H115-Premissas!$B$7,"")</f>
        <v>5.61578333333333</v>
      </c>
      <c r="N115" s="21" t="n">
        <f aca="false">IFERROR(M115/L115,"")</f>
        <v>0.435332041343669</v>
      </c>
      <c r="O115" s="18" t="n">
        <f aca="false">IFERROR(L115*(1-Premissas!$B$8)-Premissas!$B$9-H115-Premissas!$B$7,"")</f>
        <v>-1.41466666666667</v>
      </c>
      <c r="P115" s="18" t="n">
        <f aca="false">IFERROR(L115*(1-Premissas!$B$10)-Premissas!$B$11-H115-Premissas!$B$7,"")</f>
        <v>-0.196666666666666</v>
      </c>
      <c r="Q115" s="18" t="n">
        <f aca="false">IFERROR(M115*F115,"")</f>
        <v>202.1682</v>
      </c>
      <c r="R115" s="22" t="n">
        <f aca="false">IFERROR(IF(M115&gt;0,ROUNDUP(Premissas!$B$12/M115,0),"sem lucro"),"")</f>
        <v>179</v>
      </c>
      <c r="S115" s="15" t="s">
        <v>252</v>
      </c>
      <c r="T115" s="23" t="s">
        <v>76</v>
      </c>
      <c r="U115" s="15" t="s">
        <v>256</v>
      </c>
      <c r="V115" s="18" t="n">
        <f aca="false">IF(AND(T115="S",ISNUMBER(L115),ISNUMBER(F115)),L115*F115*X115,0)</f>
        <v>0</v>
      </c>
      <c r="W115" s="18" t="n">
        <f aca="false">IF(AND(T115="S",ISNUMBER(Q115)),Q115*X115,0)</f>
        <v>0</v>
      </c>
      <c r="X115" s="23" t="n">
        <v>1</v>
      </c>
      <c r="Y115" s="18" t="n">
        <f aca="false">IF(AND(T115="S",ISNUMBER(G115)),G115*X115,0)</f>
        <v>0</v>
      </c>
    </row>
    <row r="116" customFormat="false" ht="15" hidden="false" customHeight="false" outlineLevel="0" collapsed="false">
      <c r="A116" s="14" t="s">
        <v>406</v>
      </c>
      <c r="B116" s="15" t="s">
        <v>407</v>
      </c>
      <c r="C116" s="14" t="s">
        <v>408</v>
      </c>
      <c r="D116" s="14" t="s">
        <v>63</v>
      </c>
      <c r="E116" s="14" t="n">
        <v>10</v>
      </c>
      <c r="F116" s="16" t="n">
        <v>24</v>
      </c>
      <c r="G116" s="17" t="n">
        <v>145.5</v>
      </c>
      <c r="H116" s="18" t="n">
        <f aca="false">IF(ISNUMBER(G116),IFERROR(G116/F116,""),"")</f>
        <v>6.0625</v>
      </c>
      <c r="I116" s="17" t="n">
        <v>12.9</v>
      </c>
      <c r="J116" s="17" t="n">
        <v>12.9</v>
      </c>
      <c r="K116" s="19" t="s">
        <v>64</v>
      </c>
      <c r="L116" s="20" t="n">
        <v>12.9</v>
      </c>
      <c r="M116" s="18" t="n">
        <f aca="false">IFERROR(L116*(1-Premissas!$B$5)*(1-Premissas!$B$6)-H116-Premissas!$B$7,"")</f>
        <v>5.06995</v>
      </c>
      <c r="N116" s="21" t="n">
        <f aca="false">IFERROR(M116/L116,"")</f>
        <v>0.393019379844961</v>
      </c>
      <c r="O116" s="18" t="n">
        <f aca="false">IFERROR(L116*(1-Premissas!$B$8)-Premissas!$B$9-H116-Premissas!$B$7,"")</f>
        <v>-1.9605</v>
      </c>
      <c r="P116" s="18" t="n">
        <f aca="false">IFERROR(L116*(1-Premissas!$B$10)-Premissas!$B$11-H116-Premissas!$B$7,"")</f>
        <v>-0.7425</v>
      </c>
      <c r="Q116" s="18" t="n">
        <f aca="false">IFERROR(M116*F116,"")</f>
        <v>121.6788</v>
      </c>
      <c r="R116" s="22" t="n">
        <f aca="false">IFERROR(IF(M116&gt;0,ROUNDUP(Premissas!$B$12/M116,0),"sem lucro"),"")</f>
        <v>198</v>
      </c>
      <c r="S116" s="15" t="s">
        <v>307</v>
      </c>
      <c r="T116" s="23" t="s">
        <v>76</v>
      </c>
      <c r="U116" s="15"/>
      <c r="V116" s="18" t="n">
        <f aca="false">IF(AND(T116="S",ISNUMBER(L116),ISNUMBER(F116)),L116*F116*X116,0)</f>
        <v>0</v>
      </c>
      <c r="W116" s="18" t="n">
        <f aca="false">IF(AND(T116="S",ISNUMBER(Q116)),Q116*X116,0)</f>
        <v>0</v>
      </c>
      <c r="X116" s="23" t="n">
        <v>1</v>
      </c>
      <c r="Y116" s="18" t="n">
        <f aca="false">IF(AND(T116="S",ISNUMBER(G116)),G116*X116,0)</f>
        <v>0</v>
      </c>
    </row>
    <row r="117" customFormat="false" ht="15" hidden="false" customHeight="false" outlineLevel="0" collapsed="false">
      <c r="A117" s="14" t="s">
        <v>409</v>
      </c>
      <c r="B117" s="15" t="s">
        <v>410</v>
      </c>
      <c r="C117" s="14" t="s">
        <v>411</v>
      </c>
      <c r="D117" s="14" t="s">
        <v>117</v>
      </c>
      <c r="E117" s="14" t="n">
        <v>10</v>
      </c>
      <c r="F117" s="16" t="n">
        <v>24</v>
      </c>
      <c r="G117" s="17" t="n">
        <v>147.2</v>
      </c>
      <c r="H117" s="18" t="n">
        <f aca="false">IF(ISNUMBER(G117),IFERROR(G117/F117,""),"")</f>
        <v>6.13333333333333</v>
      </c>
      <c r="I117" s="17" t="n">
        <v>12.9</v>
      </c>
      <c r="J117" s="17" t="n">
        <v>12.9</v>
      </c>
      <c r="K117" s="19" t="s">
        <v>64</v>
      </c>
      <c r="L117" s="20" t="n">
        <v>12.9</v>
      </c>
      <c r="M117" s="18" t="n">
        <f aca="false">IFERROR(L117*(1-Premissas!$B$5)*(1-Premissas!$B$6)-H117-Premissas!$B$7,"")</f>
        <v>4.99911666666667</v>
      </c>
      <c r="N117" s="21" t="n">
        <f aca="false">IFERROR(M117/L117,"")</f>
        <v>0.38752842377261</v>
      </c>
      <c r="O117" s="18" t="n">
        <f aca="false">IFERROR(L117*(1-Premissas!$B$8)-Premissas!$B$9-H117-Premissas!$B$7,"")</f>
        <v>-2.03133333333333</v>
      </c>
      <c r="P117" s="18" t="n">
        <f aca="false">IFERROR(L117*(1-Premissas!$B$10)-Premissas!$B$11-H117-Premissas!$B$7,"")</f>
        <v>-0.813333333333333</v>
      </c>
      <c r="Q117" s="18" t="n">
        <f aca="false">IFERROR(M117*F117,"")</f>
        <v>119.9788</v>
      </c>
      <c r="R117" s="22" t="n">
        <f aca="false">IFERROR(IF(M117&gt;0,ROUNDUP(Premissas!$B$12/M117,0),"sem lucro"),"")</f>
        <v>201</v>
      </c>
      <c r="S117" s="15" t="s">
        <v>252</v>
      </c>
      <c r="T117" s="23" t="s">
        <v>76</v>
      </c>
      <c r="U117" s="15"/>
      <c r="V117" s="18" t="n">
        <f aca="false">IF(AND(T117="S",ISNUMBER(L117),ISNUMBER(F117)),L117*F117*X117,0)</f>
        <v>0</v>
      </c>
      <c r="W117" s="18" t="n">
        <f aca="false">IF(AND(T117="S",ISNUMBER(Q117)),Q117*X117,0)</f>
        <v>0</v>
      </c>
      <c r="X117" s="23" t="n">
        <v>1</v>
      </c>
      <c r="Y117" s="18" t="n">
        <f aca="false">IF(AND(T117="S",ISNUMBER(G117)),G117*X117,0)</f>
        <v>0</v>
      </c>
    </row>
    <row r="118" customFormat="false" ht="15" hidden="false" customHeight="false" outlineLevel="0" collapsed="false">
      <c r="A118" s="14" t="s">
        <v>412</v>
      </c>
      <c r="B118" s="15" t="s">
        <v>413</v>
      </c>
      <c r="C118" s="14" t="s">
        <v>133</v>
      </c>
      <c r="D118" s="14" t="s">
        <v>117</v>
      </c>
      <c r="E118" s="14" t="n">
        <v>10</v>
      </c>
      <c r="F118" s="16" t="n">
        <v>1</v>
      </c>
      <c r="G118" s="17" t="n">
        <v>5.99</v>
      </c>
      <c r="H118" s="18" t="n">
        <f aca="false">IF(ISNUMBER(G118),IFERROR(G118/F118,""),"")</f>
        <v>5.99</v>
      </c>
      <c r="I118" s="17" t="n">
        <v>11.5</v>
      </c>
      <c r="J118" s="17" t="n">
        <v>11.5</v>
      </c>
      <c r="K118" s="19" t="s">
        <v>64</v>
      </c>
      <c r="L118" s="20" t="n">
        <v>11.9</v>
      </c>
      <c r="M118" s="18" t="n">
        <f aca="false">IFERROR(L118*(1-Premissas!$B$5)*(1-Premissas!$B$6)-H118-Premissas!$B$7,"")</f>
        <v>4.20195</v>
      </c>
      <c r="N118" s="21" t="n">
        <f aca="false">IFERROR(M118/L118,"")</f>
        <v>0.353105042016807</v>
      </c>
      <c r="O118" s="18" t="n">
        <f aca="false">IFERROR(L118*(1-Premissas!$B$8)-Premissas!$B$9-H118-Premissas!$B$7,"")</f>
        <v>-2.768</v>
      </c>
      <c r="P118" s="18" t="n">
        <f aca="false">IFERROR(L118*(1-Premissas!$B$10)-Premissas!$B$11-H118-Premissas!$B$7,"")</f>
        <v>-1.47</v>
      </c>
      <c r="Q118" s="18" t="n">
        <f aca="false">IFERROR(M118*F118,"")</f>
        <v>4.20195</v>
      </c>
      <c r="R118" s="22" t="n">
        <f aca="false">IFERROR(IF(M118&gt;0,ROUNDUP(Premissas!$B$12/M118,0),"sem lucro"),"")</f>
        <v>238</v>
      </c>
      <c r="S118" s="15" t="s">
        <v>82</v>
      </c>
      <c r="T118" s="23" t="s">
        <v>76</v>
      </c>
      <c r="U118" s="15" t="s">
        <v>414</v>
      </c>
      <c r="V118" s="18" t="n">
        <f aca="false">IF(AND(T118="S",ISNUMBER(L118),ISNUMBER(F118)),L118*F118*X118,0)</f>
        <v>0</v>
      </c>
      <c r="W118" s="18" t="n">
        <f aca="false">IF(AND(T118="S",ISNUMBER(Q118)),Q118*X118,0)</f>
        <v>0</v>
      </c>
      <c r="X118" s="23" t="n">
        <v>12</v>
      </c>
      <c r="Y118" s="18" t="n">
        <f aca="false">IF(AND(T118="S",ISNUMBER(G118)),G118*X118,0)</f>
        <v>0</v>
      </c>
    </row>
    <row r="119" customFormat="false" ht="15" hidden="false" customHeight="false" outlineLevel="0" collapsed="false">
      <c r="A119" s="14" t="s">
        <v>415</v>
      </c>
      <c r="B119" s="15" t="s">
        <v>416</v>
      </c>
      <c r="C119" s="14" t="s">
        <v>417</v>
      </c>
      <c r="D119" s="14" t="s">
        <v>125</v>
      </c>
      <c r="E119" s="14" t="n">
        <v>10</v>
      </c>
      <c r="F119" s="16" t="n">
        <v>24</v>
      </c>
      <c r="G119" s="17" t="n">
        <v>137.5</v>
      </c>
      <c r="H119" s="18" t="n">
        <f aca="false">IF(ISNUMBER(G119),IFERROR(G119/F119,""),"")</f>
        <v>5.72916666666667</v>
      </c>
      <c r="I119" s="17" t="n">
        <v>12.9</v>
      </c>
      <c r="J119" s="17" t="n">
        <v>12.9</v>
      </c>
      <c r="K119" s="19" t="s">
        <v>64</v>
      </c>
      <c r="L119" s="20" t="n">
        <v>12.9</v>
      </c>
      <c r="M119" s="18" t="n">
        <f aca="false">IFERROR(L119*(1-Premissas!$B$5)*(1-Premissas!$B$6)-H119-Premissas!$B$7,"")</f>
        <v>5.40328333333333</v>
      </c>
      <c r="N119" s="21" t="n">
        <f aca="false">IFERROR(M119/L119,"")</f>
        <v>0.418859173126615</v>
      </c>
      <c r="O119" s="18" t="n">
        <f aca="false">IFERROR(L119*(1-Premissas!$B$8)-Premissas!$B$9-H119-Premissas!$B$7,"")</f>
        <v>-1.62716666666667</v>
      </c>
      <c r="P119" s="18" t="n">
        <f aca="false">IFERROR(L119*(1-Premissas!$B$10)-Premissas!$B$11-H119-Premissas!$B$7,"")</f>
        <v>-0.409166666666667</v>
      </c>
      <c r="Q119" s="18" t="n">
        <f aca="false">IFERROR(M119*F119,"")</f>
        <v>129.6788</v>
      </c>
      <c r="R119" s="22" t="n">
        <f aca="false">IFERROR(IF(M119&gt;0,ROUNDUP(Premissas!$B$12/M119,0),"sem lucro"),"")</f>
        <v>186</v>
      </c>
      <c r="S119" s="15" t="s">
        <v>266</v>
      </c>
      <c r="T119" s="23" t="s">
        <v>76</v>
      </c>
      <c r="U119" s="15" t="s">
        <v>418</v>
      </c>
      <c r="V119" s="18" t="n">
        <f aca="false">IF(AND(T119="S",ISNUMBER(L119),ISNUMBER(F119)),L119*F119*X119,0)</f>
        <v>0</v>
      </c>
      <c r="W119" s="18" t="n">
        <f aca="false">IF(AND(T119="S",ISNUMBER(Q119)),Q119*X119,0)</f>
        <v>0</v>
      </c>
      <c r="X119" s="23" t="n">
        <v>1</v>
      </c>
      <c r="Y119" s="18" t="n">
        <f aca="false">IF(AND(T119="S",ISNUMBER(G119)),G119*X119,0)</f>
        <v>0</v>
      </c>
    </row>
    <row r="120" customFormat="false" ht="15" hidden="false" customHeight="false" outlineLevel="0" collapsed="false">
      <c r="A120" s="14" t="s">
        <v>419</v>
      </c>
      <c r="B120" s="15" t="s">
        <v>420</v>
      </c>
      <c r="C120" s="14" t="s">
        <v>133</v>
      </c>
      <c r="D120" s="14" t="s">
        <v>125</v>
      </c>
      <c r="E120" s="14" t="n">
        <v>10</v>
      </c>
      <c r="F120" s="16" t="n">
        <v>12</v>
      </c>
      <c r="G120" s="17" t="n">
        <v>23.3</v>
      </c>
      <c r="H120" s="18" t="n">
        <f aca="false">IF(ISNUMBER(G120),IFERROR(G120/F120,""),"")</f>
        <v>1.94166666666667</v>
      </c>
      <c r="I120" s="17" t="n">
        <v>4.99</v>
      </c>
      <c r="J120" s="17" t="n">
        <v>5.99</v>
      </c>
      <c r="K120" s="14" t="s">
        <v>93</v>
      </c>
      <c r="L120" s="20" t="n">
        <v>5.9</v>
      </c>
      <c r="M120" s="18" t="n">
        <f aca="false">IFERROR(L120*(1-Premissas!$B$5)*(1-Premissas!$B$6)-H120-Premissas!$B$7,"")</f>
        <v>2.60728333333333</v>
      </c>
      <c r="N120" s="21" t="n">
        <f aca="false">IFERROR(M120/L120,"")</f>
        <v>0.441912429378531</v>
      </c>
      <c r="O120" s="18" t="n">
        <f aca="false">IFERROR(L120*(1-Premissas!$B$8)-Premissas!$B$9-H120-Premissas!$B$7,"")</f>
        <v>-3.99966666666667</v>
      </c>
      <c r="P120" s="18" t="n">
        <f aca="false">IFERROR(L120*(1-Premissas!$B$10)-Premissas!$B$11-H120-Premissas!$B$7,"")</f>
        <v>-2.22166666666667</v>
      </c>
      <c r="Q120" s="18" t="n">
        <f aca="false">IFERROR(M120*F120,"")</f>
        <v>31.2874</v>
      </c>
      <c r="R120" s="22" t="n">
        <f aca="false">IFERROR(IF(M120&gt;0,ROUNDUP(Premissas!$B$12/M120,0),"sem lucro"),"")</f>
        <v>384</v>
      </c>
      <c r="S120" s="15" t="s">
        <v>111</v>
      </c>
      <c r="T120" s="23" t="s">
        <v>76</v>
      </c>
      <c r="U120" s="15" t="s">
        <v>421</v>
      </c>
      <c r="V120" s="18" t="n">
        <f aca="false">IF(AND(T120="S",ISNUMBER(L120),ISNUMBER(F120)),L120*F120*X120,0)</f>
        <v>0</v>
      </c>
      <c r="W120" s="18" t="n">
        <f aca="false">IF(AND(T120="S",ISNUMBER(Q120)),Q120*X120,0)</f>
        <v>0</v>
      </c>
      <c r="X120" s="23" t="n">
        <v>1</v>
      </c>
      <c r="Y120" s="18" t="n">
        <f aca="false">IF(AND(T120="S",ISNUMBER(G120)),G120*X120,0)</f>
        <v>0</v>
      </c>
    </row>
    <row r="121" customFormat="false" ht="15" hidden="false" customHeight="false" outlineLevel="0" collapsed="false">
      <c r="A121" s="14" t="s">
        <v>422</v>
      </c>
      <c r="B121" s="15" t="s">
        <v>423</v>
      </c>
      <c r="C121" s="14" t="s">
        <v>133</v>
      </c>
      <c r="D121" s="14" t="s">
        <v>157</v>
      </c>
      <c r="E121" s="14" t="n">
        <v>10</v>
      </c>
      <c r="F121" s="16" t="n">
        <v>12</v>
      </c>
      <c r="G121" s="17" t="n">
        <v>28.99</v>
      </c>
      <c r="H121" s="18" t="n">
        <f aca="false">IF(ISNUMBER(G121),IFERROR(G121/F121,""),"")</f>
        <v>2.41583333333333</v>
      </c>
      <c r="I121" s="17" t="n">
        <v>4.99</v>
      </c>
      <c r="J121" s="17" t="n">
        <v>5.99</v>
      </c>
      <c r="K121" s="19" t="s">
        <v>64</v>
      </c>
      <c r="L121" s="20" t="n">
        <v>5.9</v>
      </c>
      <c r="M121" s="18" t="n">
        <f aca="false">IFERROR(L121*(1-Premissas!$B$5)*(1-Premissas!$B$6)-H121-Premissas!$B$7,"")</f>
        <v>2.13311666666667</v>
      </c>
      <c r="N121" s="21" t="n">
        <f aca="false">IFERROR(M121/L121,"")</f>
        <v>0.361545197740113</v>
      </c>
      <c r="O121" s="18" t="n">
        <f aca="false">IFERROR(L121*(1-Premissas!$B$8)-Premissas!$B$9-H121-Premissas!$B$7,"")</f>
        <v>-4.47383333333333</v>
      </c>
      <c r="P121" s="18" t="n">
        <f aca="false">IFERROR(L121*(1-Premissas!$B$10)-Premissas!$B$11-H121-Premissas!$B$7,"")</f>
        <v>-2.69583333333333</v>
      </c>
      <c r="Q121" s="18" t="n">
        <f aca="false">IFERROR(M121*F121,"")</f>
        <v>25.5974</v>
      </c>
      <c r="R121" s="22" t="n">
        <f aca="false">IFERROR(IF(M121&gt;0,ROUNDUP(Premissas!$B$12/M121,0),"sem lucro"),"")</f>
        <v>469</v>
      </c>
      <c r="S121" s="15" t="s">
        <v>111</v>
      </c>
      <c r="T121" s="23" t="s">
        <v>76</v>
      </c>
      <c r="U121" s="15" t="s">
        <v>424</v>
      </c>
      <c r="V121" s="18" t="n">
        <f aca="false">IF(AND(T121="S",ISNUMBER(L121),ISNUMBER(F121)),L121*F121*X121,0)</f>
        <v>0</v>
      </c>
      <c r="W121" s="18" t="n">
        <f aca="false">IF(AND(T121="S",ISNUMBER(Q121)),Q121*X121,0)</f>
        <v>0</v>
      </c>
      <c r="X121" s="23" t="n">
        <v>1</v>
      </c>
      <c r="Y121" s="18" t="n">
        <f aca="false">IF(AND(T121="S",ISNUMBER(G121)),G121*X121,0)</f>
        <v>0</v>
      </c>
    </row>
    <row r="122" customFormat="false" ht="15" hidden="false" customHeight="false" outlineLevel="0" collapsed="false">
      <c r="A122" s="14" t="s">
        <v>425</v>
      </c>
      <c r="B122" s="15" t="s">
        <v>426</v>
      </c>
      <c r="C122" s="14" t="s">
        <v>255</v>
      </c>
      <c r="D122" s="14" t="s">
        <v>117</v>
      </c>
      <c r="E122" s="14" t="n">
        <v>10</v>
      </c>
      <c r="F122" s="16" t="n">
        <v>36</v>
      </c>
      <c r="G122" s="17" t="n">
        <v>204.99</v>
      </c>
      <c r="H122" s="18" t="n">
        <f aca="false">IF(ISNUMBER(G122),IFERROR(G122/F122,""),"")</f>
        <v>5.69416666666667</v>
      </c>
      <c r="I122" s="17" t="n">
        <v>12.9</v>
      </c>
      <c r="J122" s="17" t="n">
        <v>12.9</v>
      </c>
      <c r="K122" s="19" t="s">
        <v>64</v>
      </c>
      <c r="L122" s="20" t="n">
        <v>12.9</v>
      </c>
      <c r="M122" s="18" t="n">
        <f aca="false">IFERROR(L122*(1-Premissas!$B$5)*(1-Premissas!$B$6)-H122-Premissas!$B$7,"")</f>
        <v>5.43828333333333</v>
      </c>
      <c r="N122" s="21" t="n">
        <f aca="false">IFERROR(M122/L122,"")</f>
        <v>0.421572351421189</v>
      </c>
      <c r="O122" s="18" t="n">
        <f aca="false">IFERROR(L122*(1-Premissas!$B$8)-Premissas!$B$9-H122-Premissas!$B$7,"")</f>
        <v>-1.59216666666667</v>
      </c>
      <c r="P122" s="18" t="n">
        <f aca="false">IFERROR(L122*(1-Premissas!$B$10)-Premissas!$B$11-H122-Premissas!$B$7,"")</f>
        <v>-0.374166666666667</v>
      </c>
      <c r="Q122" s="18" t="n">
        <f aca="false">IFERROR(M122*F122,"")</f>
        <v>195.7782</v>
      </c>
      <c r="R122" s="22" t="n">
        <f aca="false">IFERROR(IF(M122&gt;0,ROUNDUP(Premissas!$B$12/M122,0),"sem lucro"),"")</f>
        <v>184</v>
      </c>
      <c r="S122" s="15" t="s">
        <v>252</v>
      </c>
      <c r="T122" s="23" t="s">
        <v>76</v>
      </c>
      <c r="U122" s="15" t="s">
        <v>256</v>
      </c>
      <c r="V122" s="18" t="n">
        <f aca="false">IF(AND(T122="S",ISNUMBER(L122),ISNUMBER(F122)),L122*F122*X122,0)</f>
        <v>0</v>
      </c>
      <c r="W122" s="18" t="n">
        <f aca="false">IF(AND(T122="S",ISNUMBER(Q122)),Q122*X122,0)</f>
        <v>0</v>
      </c>
      <c r="X122" s="23" t="n">
        <v>1</v>
      </c>
      <c r="Y122" s="18" t="n">
        <f aca="false">IF(AND(T122="S",ISNUMBER(G122)),G122*X122,0)</f>
        <v>0</v>
      </c>
    </row>
    <row r="123" customFormat="false" ht="26.85" hidden="false" customHeight="false" outlineLevel="0" collapsed="false">
      <c r="A123" s="14" t="s">
        <v>427</v>
      </c>
      <c r="B123" s="15" t="s">
        <v>428</v>
      </c>
      <c r="C123" s="14" t="s">
        <v>429</v>
      </c>
      <c r="D123" s="14" t="s">
        <v>63</v>
      </c>
      <c r="E123" s="14" t="n">
        <v>10</v>
      </c>
      <c r="F123" s="16" t="n">
        <v>24</v>
      </c>
      <c r="G123" s="17" t="n">
        <v>80.99</v>
      </c>
      <c r="H123" s="18" t="n">
        <f aca="false">IF(ISNUMBER(G123),IFERROR(G123/F123,""),"")</f>
        <v>3.37458333333333</v>
      </c>
      <c r="I123" s="17" t="n">
        <v>12.9</v>
      </c>
      <c r="J123" s="17" t="n">
        <v>20</v>
      </c>
      <c r="K123" s="19" t="s">
        <v>64</v>
      </c>
      <c r="L123" s="20" t="n">
        <v>14.9</v>
      </c>
      <c r="M123" s="18" t="n">
        <f aca="false">IFERROR(L123*(1-Premissas!$B$5)*(1-Premissas!$B$6)-H123-Premissas!$B$7,"")</f>
        <v>9.63886666666667</v>
      </c>
      <c r="N123" s="21" t="n">
        <f aca="false">IFERROR(M123/L123,"")</f>
        <v>0.646903803131991</v>
      </c>
      <c r="O123" s="18" t="n">
        <f aca="false">IFERROR(L123*(1-Premissas!$B$8)-Premissas!$B$9-H123-Premissas!$B$7,"")</f>
        <v>2.48741666666667</v>
      </c>
      <c r="P123" s="18" t="n">
        <f aca="false">IFERROR(L123*(1-Premissas!$B$10)-Premissas!$B$11-H123-Premissas!$B$7,"")</f>
        <v>3.54541666666667</v>
      </c>
      <c r="Q123" s="18" t="n">
        <f aca="false">IFERROR(M123*F123,"")</f>
        <v>231.3328</v>
      </c>
      <c r="R123" s="22" t="n">
        <f aca="false">IFERROR(IF(M123&gt;0,ROUNDUP(Premissas!$B$12/M123,0),"sem lucro"),"")</f>
        <v>104</v>
      </c>
      <c r="S123" s="15" t="s">
        <v>430</v>
      </c>
      <c r="T123" s="23" t="s">
        <v>76</v>
      </c>
      <c r="U123" s="15" t="s">
        <v>431</v>
      </c>
      <c r="V123" s="18" t="n">
        <f aca="false">IF(AND(T123="S",ISNUMBER(L123),ISNUMBER(F123)),L123*F123*X123,0)</f>
        <v>0</v>
      </c>
      <c r="W123" s="18" t="n">
        <f aca="false">IF(AND(T123="S",ISNUMBER(Q123)),Q123*X123,0)</f>
        <v>0</v>
      </c>
      <c r="X123" s="23" t="n">
        <v>1</v>
      </c>
      <c r="Y123" s="18" t="n">
        <f aca="false">IF(AND(T123="S",ISNUMBER(G123)),G123*X123,0)</f>
        <v>0</v>
      </c>
    </row>
    <row r="124" customFormat="false" ht="15" hidden="false" customHeight="false" outlineLevel="0" collapsed="false">
      <c r="A124" s="14" t="s">
        <v>432</v>
      </c>
      <c r="B124" s="15" t="s">
        <v>433</v>
      </c>
      <c r="C124" s="14" t="s">
        <v>429</v>
      </c>
      <c r="D124" s="14" t="s">
        <v>125</v>
      </c>
      <c r="E124" s="14" t="n">
        <v>10</v>
      </c>
      <c r="F124" s="16" t="n">
        <v>24</v>
      </c>
      <c r="G124" s="17" t="n">
        <v>130.9</v>
      </c>
      <c r="H124" s="18" t="n">
        <f aca="false">IF(ISNUMBER(G124),IFERROR(G124/F124,""),"")</f>
        <v>5.45416666666667</v>
      </c>
      <c r="I124" s="17" t="n">
        <v>12.9</v>
      </c>
      <c r="J124" s="17" t="n">
        <v>12.9</v>
      </c>
      <c r="K124" s="19" t="s">
        <v>64</v>
      </c>
      <c r="L124" s="20" t="n">
        <v>12.9</v>
      </c>
      <c r="M124" s="18" t="n">
        <f aca="false">IFERROR(L124*(1-Premissas!$B$5)*(1-Premissas!$B$6)-H124-Premissas!$B$7,"")</f>
        <v>5.67828333333333</v>
      </c>
      <c r="N124" s="21" t="n">
        <f aca="false">IFERROR(M124/L124,"")</f>
        <v>0.440177002583979</v>
      </c>
      <c r="O124" s="18" t="n">
        <f aca="false">IFERROR(L124*(1-Premissas!$B$8)-Premissas!$B$9-H124-Premissas!$B$7,"")</f>
        <v>-1.35216666666667</v>
      </c>
      <c r="P124" s="18" t="n">
        <f aca="false">IFERROR(L124*(1-Premissas!$B$10)-Premissas!$B$11-H124-Premissas!$B$7,"")</f>
        <v>-0.134166666666666</v>
      </c>
      <c r="Q124" s="18" t="n">
        <f aca="false">IFERROR(M124*F124,"")</f>
        <v>136.2788</v>
      </c>
      <c r="R124" s="22" t="n">
        <f aca="false">IFERROR(IF(M124&gt;0,ROUNDUP(Premissas!$B$12/M124,0),"sem lucro"),"")</f>
        <v>177</v>
      </c>
      <c r="S124" s="15" t="s">
        <v>82</v>
      </c>
      <c r="T124" s="23" t="s">
        <v>76</v>
      </c>
      <c r="U124" s="15"/>
      <c r="V124" s="18" t="n">
        <f aca="false">IF(AND(T124="S",ISNUMBER(L124),ISNUMBER(F124)),L124*F124*X124,0)</f>
        <v>0</v>
      </c>
      <c r="W124" s="18" t="n">
        <f aca="false">IF(AND(T124="S",ISNUMBER(Q124)),Q124*X124,0)</f>
        <v>0</v>
      </c>
      <c r="X124" s="23" t="n">
        <v>1</v>
      </c>
      <c r="Y124" s="18" t="n">
        <f aca="false">IF(AND(T124="S",ISNUMBER(G124)),G124*X124,0)</f>
        <v>0</v>
      </c>
    </row>
    <row r="125" customFormat="false" ht="15" hidden="false" customHeight="false" outlineLevel="0" collapsed="false">
      <c r="A125" s="14" t="s">
        <v>434</v>
      </c>
      <c r="B125" s="15" t="s">
        <v>435</v>
      </c>
      <c r="C125" s="14" t="s">
        <v>436</v>
      </c>
      <c r="D125" s="14" t="s">
        <v>63</v>
      </c>
      <c r="E125" s="14" t="n">
        <v>10</v>
      </c>
      <c r="F125" s="16" t="n">
        <v>12</v>
      </c>
      <c r="G125" s="17" t="n">
        <v>48.5</v>
      </c>
      <c r="H125" s="18" t="n">
        <f aca="false">IF(ISNUMBER(G125),IFERROR(G125/F125,""),"")</f>
        <v>4.04166666666667</v>
      </c>
      <c r="I125" s="17" t="n">
        <v>4.59</v>
      </c>
      <c r="J125" s="17" t="n">
        <v>12.9</v>
      </c>
      <c r="K125" s="19" t="s">
        <v>64</v>
      </c>
      <c r="L125" s="20" t="n">
        <v>11.9</v>
      </c>
      <c r="M125" s="18" t="n">
        <f aca="false">IFERROR(L125*(1-Premissas!$B$5)*(1-Premissas!$B$6)-H125-Premissas!$B$7,"")</f>
        <v>6.15028333333333</v>
      </c>
      <c r="N125" s="21" t="n">
        <f aca="false">IFERROR(M125/L125,"")</f>
        <v>0.516830532212885</v>
      </c>
      <c r="O125" s="18" t="n">
        <f aca="false">IFERROR(L125*(1-Premissas!$B$8)-Premissas!$B$9-H125-Premissas!$B$7,"")</f>
        <v>-0.819666666666667</v>
      </c>
      <c r="P125" s="18" t="n">
        <f aca="false">IFERROR(L125*(1-Premissas!$B$10)-Premissas!$B$11-H125-Premissas!$B$7,"")</f>
        <v>0.478333333333334</v>
      </c>
      <c r="Q125" s="18" t="n">
        <f aca="false">IFERROR(M125*F125,"")</f>
        <v>73.8034</v>
      </c>
      <c r="R125" s="22" t="n">
        <f aca="false">IFERROR(IF(M125&gt;0,ROUNDUP(Premissas!$B$12/M125,0),"sem lucro"),"")</f>
        <v>163</v>
      </c>
      <c r="S125" s="15" t="s">
        <v>260</v>
      </c>
      <c r="T125" s="23" t="s">
        <v>76</v>
      </c>
      <c r="U125" s="15" t="s">
        <v>437</v>
      </c>
      <c r="V125" s="18" t="n">
        <f aca="false">IF(AND(T125="S",ISNUMBER(L125),ISNUMBER(F125)),L125*F125*X125,0)</f>
        <v>0</v>
      </c>
      <c r="W125" s="18" t="n">
        <f aca="false">IF(AND(T125="S",ISNUMBER(Q125)),Q125*X125,0)</f>
        <v>0</v>
      </c>
      <c r="X125" s="23" t="n">
        <v>1</v>
      </c>
      <c r="Y125" s="18" t="n">
        <f aca="false">IF(AND(T125="S",ISNUMBER(G125)),G125*X125,0)</f>
        <v>0</v>
      </c>
    </row>
    <row r="126" customFormat="false" ht="15" hidden="false" customHeight="false" outlineLevel="0" collapsed="false">
      <c r="A126" s="14" t="s">
        <v>438</v>
      </c>
      <c r="B126" s="15" t="s">
        <v>439</v>
      </c>
      <c r="C126" s="14" t="s">
        <v>440</v>
      </c>
      <c r="D126" s="14" t="s">
        <v>168</v>
      </c>
      <c r="E126" s="14" t="n">
        <v>10</v>
      </c>
      <c r="F126" s="16" t="n">
        <v>1</v>
      </c>
      <c r="G126" s="17" t="n">
        <v>10.8</v>
      </c>
      <c r="H126" s="18" t="n">
        <f aca="false">IF(ISNUMBER(G126),IFERROR(G126/F126,""),"")</f>
        <v>10.8</v>
      </c>
      <c r="I126" s="17" t="n">
        <v>24.9</v>
      </c>
      <c r="J126" s="17" t="n">
        <v>34.9</v>
      </c>
      <c r="K126" s="19" t="s">
        <v>64</v>
      </c>
      <c r="L126" s="20" t="n">
        <v>29.9</v>
      </c>
      <c r="M126" s="18" t="n">
        <f aca="false">IFERROR(L126*(1-Premissas!$B$5)*(1-Premissas!$B$6)-H126-Premissas!$B$7,"")</f>
        <v>16.32095</v>
      </c>
      <c r="N126" s="21" t="n">
        <f aca="false">IFERROR(M126/L126,"")</f>
        <v>0.545851170568562</v>
      </c>
      <c r="O126" s="18" t="n">
        <f aca="false">IFERROR(L126*(1-Premissas!$B$8)-Premissas!$B$9-H126-Premissas!$B$7,"")</f>
        <v>8.262</v>
      </c>
      <c r="P126" s="18" t="n">
        <f aca="false">IFERROR(L126*(1-Premissas!$B$10)-Premissas!$B$11-H126-Premissas!$B$7,"")</f>
        <v>8.12</v>
      </c>
      <c r="Q126" s="18" t="n">
        <f aca="false">IFERROR(M126*F126,"")</f>
        <v>16.32095</v>
      </c>
      <c r="R126" s="22" t="n">
        <f aca="false">IFERROR(IF(M126&gt;0,ROUNDUP(Premissas!$B$12/M126,0),"sem lucro"),"")</f>
        <v>62</v>
      </c>
      <c r="S126" s="15" t="s">
        <v>441</v>
      </c>
      <c r="T126" s="23" t="s">
        <v>76</v>
      </c>
      <c r="U126" s="15" t="s">
        <v>442</v>
      </c>
      <c r="V126" s="18" t="n">
        <f aca="false">IF(AND(T126="S",ISNUMBER(L126),ISNUMBER(F126)),L126*F126*X126,0)</f>
        <v>0</v>
      </c>
      <c r="W126" s="18" t="n">
        <f aca="false">IF(AND(T126="S",ISNUMBER(Q126)),Q126*X126,0)</f>
        <v>0</v>
      </c>
      <c r="X126" s="23" t="n">
        <v>12</v>
      </c>
      <c r="Y126" s="18" t="n">
        <f aca="false">IF(AND(T126="S",ISNUMBER(G126)),G126*X126,0)</f>
        <v>0</v>
      </c>
    </row>
    <row r="127" customFormat="false" ht="15" hidden="false" customHeight="false" outlineLevel="0" collapsed="false">
      <c r="A127" s="14" t="s">
        <v>443</v>
      </c>
      <c r="B127" s="15" t="s">
        <v>444</v>
      </c>
      <c r="C127" s="14" t="s">
        <v>291</v>
      </c>
      <c r="D127" s="14" t="s">
        <v>125</v>
      </c>
      <c r="E127" s="14" t="n">
        <v>10</v>
      </c>
      <c r="F127" s="16" t="n">
        <v>48</v>
      </c>
      <c r="G127" s="17" t="n">
        <v>168.9</v>
      </c>
      <c r="H127" s="18" t="n">
        <f aca="false">IF(ISNUMBER(G127),IFERROR(G127/F127,""),"")</f>
        <v>3.51875</v>
      </c>
      <c r="I127" s="17" t="n">
        <v>10</v>
      </c>
      <c r="J127" s="17" t="n">
        <v>12.9</v>
      </c>
      <c r="K127" s="19" t="s">
        <v>64</v>
      </c>
      <c r="L127" s="20" t="n">
        <v>11.9</v>
      </c>
      <c r="M127" s="18" t="n">
        <f aca="false">IFERROR(L127*(1-Premissas!$B$5)*(1-Premissas!$B$6)-H127-Premissas!$B$7,"")</f>
        <v>6.6732</v>
      </c>
      <c r="N127" s="21" t="n">
        <f aca="false">IFERROR(M127/L127,"")</f>
        <v>0.560773109243697</v>
      </c>
      <c r="O127" s="18" t="n">
        <f aca="false">IFERROR(L127*(1-Premissas!$B$8)-Premissas!$B$9-H127-Premissas!$B$7,"")</f>
        <v>-0.296750000000001</v>
      </c>
      <c r="P127" s="18" t="n">
        <f aca="false">IFERROR(L127*(1-Premissas!$B$10)-Premissas!$B$11-H127-Premissas!$B$7,"")</f>
        <v>1.00125</v>
      </c>
      <c r="Q127" s="18" t="n">
        <f aca="false">IFERROR(M127*F127,"")</f>
        <v>320.3136</v>
      </c>
      <c r="R127" s="22" t="n">
        <f aca="false">IFERROR(IF(M127&gt;0,ROUNDUP(Premissas!$B$12/M127,0),"sem lucro"),"")</f>
        <v>150</v>
      </c>
      <c r="S127" s="15" t="s">
        <v>82</v>
      </c>
      <c r="T127" s="23" t="s">
        <v>76</v>
      </c>
      <c r="U127" s="15" t="s">
        <v>208</v>
      </c>
      <c r="V127" s="18" t="n">
        <f aca="false">IF(AND(T127="S",ISNUMBER(L127),ISNUMBER(F127)),L127*F127*X127,0)</f>
        <v>0</v>
      </c>
      <c r="W127" s="18" t="n">
        <f aca="false">IF(AND(T127="S",ISNUMBER(Q127)),Q127*X127,0)</f>
        <v>0</v>
      </c>
      <c r="X127" s="23" t="n">
        <v>1</v>
      </c>
      <c r="Y127" s="18" t="n">
        <f aca="false">IF(AND(T127="S",ISNUMBER(G127)),G127*X127,0)</f>
        <v>0</v>
      </c>
    </row>
    <row r="128" customFormat="false" ht="15" hidden="false" customHeight="false" outlineLevel="0" collapsed="false">
      <c r="A128" s="14" t="s">
        <v>445</v>
      </c>
      <c r="B128" s="15" t="s">
        <v>446</v>
      </c>
      <c r="C128" s="14" t="s">
        <v>291</v>
      </c>
      <c r="D128" s="14" t="s">
        <v>63</v>
      </c>
      <c r="E128" s="14" t="n">
        <v>10</v>
      </c>
      <c r="F128" s="16" t="n">
        <v>1</v>
      </c>
      <c r="G128" s="17" t="n">
        <v>5.5</v>
      </c>
      <c r="H128" s="18" t="n">
        <f aca="false">IF(ISNUMBER(G128),IFERROR(G128/F128,""),"")</f>
        <v>5.5</v>
      </c>
      <c r="I128" s="17" t="n">
        <v>12.9</v>
      </c>
      <c r="J128" s="17" t="n">
        <v>12.9</v>
      </c>
      <c r="K128" s="19" t="s">
        <v>64</v>
      </c>
      <c r="L128" s="20" t="n">
        <v>12.9</v>
      </c>
      <c r="M128" s="18" t="n">
        <f aca="false">IFERROR(L128*(1-Premissas!$B$5)*(1-Premissas!$B$6)-H128-Premissas!$B$7,"")</f>
        <v>5.63245</v>
      </c>
      <c r="N128" s="21" t="n">
        <f aca="false">IFERROR(M128/L128,"")</f>
        <v>0.436624031007752</v>
      </c>
      <c r="O128" s="18" t="n">
        <f aca="false">IFERROR(L128*(1-Premissas!$B$8)-Premissas!$B$9-H128-Premissas!$B$7,"")</f>
        <v>-1.398</v>
      </c>
      <c r="P128" s="18" t="n">
        <f aca="false">IFERROR(L128*(1-Premissas!$B$10)-Premissas!$B$11-H128-Premissas!$B$7,"")</f>
        <v>-0.18</v>
      </c>
      <c r="Q128" s="18" t="n">
        <f aca="false">IFERROR(M128*F128,"")</f>
        <v>5.63245</v>
      </c>
      <c r="R128" s="22" t="n">
        <f aca="false">IFERROR(IF(M128&gt;0,ROUNDUP(Premissas!$B$12/M128,0),"sem lucro"),"")</f>
        <v>178</v>
      </c>
      <c r="S128" s="15" t="s">
        <v>82</v>
      </c>
      <c r="T128" s="23" t="s">
        <v>76</v>
      </c>
      <c r="U128" s="15" t="s">
        <v>447</v>
      </c>
      <c r="V128" s="18" t="n">
        <f aca="false">IF(AND(T128="S",ISNUMBER(L128),ISNUMBER(F128)),L128*F128*X128,0)</f>
        <v>0</v>
      </c>
      <c r="W128" s="18" t="n">
        <f aca="false">IF(AND(T128="S",ISNUMBER(Q128)),Q128*X128,0)</f>
        <v>0</v>
      </c>
      <c r="X128" s="23" t="n">
        <v>12</v>
      </c>
      <c r="Y128" s="18" t="n">
        <f aca="false">IF(AND(T128="S",ISNUMBER(G128)),G128*X128,0)</f>
        <v>0</v>
      </c>
    </row>
    <row r="129" customFormat="false" ht="15" hidden="false" customHeight="false" outlineLevel="0" collapsed="false">
      <c r="A129" s="14" t="s">
        <v>448</v>
      </c>
      <c r="B129" s="15" t="s">
        <v>449</v>
      </c>
      <c r="C129" s="14" t="s">
        <v>167</v>
      </c>
      <c r="D129" s="14" t="s">
        <v>168</v>
      </c>
      <c r="E129" s="14" t="n">
        <v>10</v>
      </c>
      <c r="F129" s="16" t="n">
        <v>12</v>
      </c>
      <c r="G129" s="17" t="n">
        <v>67.99</v>
      </c>
      <c r="H129" s="18" t="n">
        <f aca="false">IF(ISNUMBER(G129),IFERROR(G129/F129,""),"")</f>
        <v>5.66583333333333</v>
      </c>
      <c r="I129" s="17" t="n">
        <v>14.9</v>
      </c>
      <c r="J129" s="17" t="n">
        <v>14.9</v>
      </c>
      <c r="K129" s="19" t="s">
        <v>64</v>
      </c>
      <c r="L129" s="20" t="n">
        <v>14.9</v>
      </c>
      <c r="M129" s="18" t="n">
        <f aca="false">IFERROR(L129*(1-Premissas!$B$5)*(1-Premissas!$B$6)-H129-Premissas!$B$7,"")</f>
        <v>7.34761666666667</v>
      </c>
      <c r="N129" s="21" t="n">
        <f aca="false">IFERROR(M129/L129,"")</f>
        <v>0.493128635346756</v>
      </c>
      <c r="O129" s="18" t="n">
        <f aca="false">IFERROR(L129*(1-Premissas!$B$8)-Premissas!$B$9-H129-Premissas!$B$7,"")</f>
        <v>0.196166666666668</v>
      </c>
      <c r="P129" s="18" t="n">
        <f aca="false">IFERROR(L129*(1-Premissas!$B$10)-Premissas!$B$11-H129-Premissas!$B$7,"")</f>
        <v>1.25416666666667</v>
      </c>
      <c r="Q129" s="18" t="n">
        <f aca="false">IFERROR(M129*F129,"")</f>
        <v>88.1714</v>
      </c>
      <c r="R129" s="22" t="n">
        <f aca="false">IFERROR(IF(M129&gt;0,ROUNDUP(Premissas!$B$12/M129,0),"sem lucro"),"")</f>
        <v>137</v>
      </c>
      <c r="S129" s="15" t="s">
        <v>361</v>
      </c>
      <c r="T129" s="23" t="s">
        <v>76</v>
      </c>
      <c r="U129" s="15" t="s">
        <v>450</v>
      </c>
      <c r="V129" s="18" t="n">
        <f aca="false">IF(AND(T129="S",ISNUMBER(L129),ISNUMBER(F129)),L129*F129*X129,0)</f>
        <v>0</v>
      </c>
      <c r="W129" s="18" t="n">
        <f aca="false">IF(AND(T129="S",ISNUMBER(Q129)),Q129*X129,0)</f>
        <v>0</v>
      </c>
      <c r="X129" s="23" t="n">
        <v>1</v>
      </c>
      <c r="Y129" s="18" t="n">
        <f aca="false">IF(AND(T129="S",ISNUMBER(G129)),G129*X129,0)</f>
        <v>0</v>
      </c>
    </row>
    <row r="130" customFormat="false" ht="15" hidden="false" customHeight="false" outlineLevel="0" collapsed="false">
      <c r="A130" s="14" t="s">
        <v>451</v>
      </c>
      <c r="B130" s="15" t="s">
        <v>452</v>
      </c>
      <c r="C130" s="14" t="s">
        <v>167</v>
      </c>
      <c r="D130" s="14" t="s">
        <v>168</v>
      </c>
      <c r="E130" s="14" t="n">
        <v>10</v>
      </c>
      <c r="F130" s="16" t="n">
        <v>12</v>
      </c>
      <c r="G130" s="17" t="n">
        <v>77.8</v>
      </c>
      <c r="H130" s="18" t="n">
        <f aca="false">IF(ISNUMBER(G130),IFERROR(G130/F130,""),"")</f>
        <v>6.48333333333333</v>
      </c>
      <c r="I130" s="17" t="n">
        <v>14.9</v>
      </c>
      <c r="J130" s="17" t="n">
        <v>14.9</v>
      </c>
      <c r="K130" s="19" t="s">
        <v>64</v>
      </c>
      <c r="L130" s="20" t="n">
        <v>14.9</v>
      </c>
      <c r="M130" s="18" t="n">
        <f aca="false">IFERROR(L130*(1-Premissas!$B$5)*(1-Premissas!$B$6)-H130-Premissas!$B$7,"")</f>
        <v>6.53011666666667</v>
      </c>
      <c r="N130" s="21" t="n">
        <f aca="false">IFERROR(M130/L130,"")</f>
        <v>0.438262863534676</v>
      </c>
      <c r="O130" s="18" t="n">
        <f aca="false">IFERROR(L130*(1-Premissas!$B$8)-Premissas!$B$9-H130-Premissas!$B$7,"")</f>
        <v>-0.621333333333333</v>
      </c>
      <c r="P130" s="18" t="n">
        <f aca="false">IFERROR(L130*(1-Premissas!$B$10)-Premissas!$B$11-H130-Premissas!$B$7,"")</f>
        <v>0.436666666666668</v>
      </c>
      <c r="Q130" s="18" t="n">
        <f aca="false">IFERROR(M130*F130,"")</f>
        <v>78.3614</v>
      </c>
      <c r="R130" s="22" t="n">
        <f aca="false">IFERROR(IF(M130&gt;0,ROUNDUP(Premissas!$B$12/M130,0),"sem lucro"),"")</f>
        <v>154</v>
      </c>
      <c r="S130" s="15" t="s">
        <v>361</v>
      </c>
      <c r="T130" s="23" t="s">
        <v>76</v>
      </c>
      <c r="U130" s="15" t="s">
        <v>450</v>
      </c>
      <c r="V130" s="18" t="n">
        <f aca="false">IF(AND(T130="S",ISNUMBER(L130),ISNUMBER(F130)),L130*F130*X130,0)</f>
        <v>0</v>
      </c>
      <c r="W130" s="18" t="n">
        <f aca="false">IF(AND(T130="S",ISNUMBER(Q130)),Q130*X130,0)</f>
        <v>0</v>
      </c>
      <c r="X130" s="23" t="n">
        <v>1</v>
      </c>
      <c r="Y130" s="18" t="n">
        <f aca="false">IF(AND(T130="S",ISNUMBER(G130)),G130*X130,0)</f>
        <v>0</v>
      </c>
    </row>
    <row r="131" customFormat="false" ht="15" hidden="false" customHeight="false" outlineLevel="0" collapsed="false">
      <c r="A131" s="14" t="s">
        <v>453</v>
      </c>
      <c r="B131" s="15" t="s">
        <v>454</v>
      </c>
      <c r="C131" s="14" t="s">
        <v>455</v>
      </c>
      <c r="D131" s="14" t="s">
        <v>117</v>
      </c>
      <c r="E131" s="14" t="n">
        <v>10</v>
      </c>
      <c r="F131" s="16" t="n">
        <v>36</v>
      </c>
      <c r="G131" s="17" t="n">
        <v>194.7</v>
      </c>
      <c r="H131" s="18" t="n">
        <f aca="false">IF(ISNUMBER(G131),IFERROR(G131/F131,""),"")</f>
        <v>5.40833333333333</v>
      </c>
      <c r="I131" s="17" t="n">
        <v>12.9</v>
      </c>
      <c r="J131" s="17" t="n">
        <v>12.9</v>
      </c>
      <c r="K131" s="19" t="s">
        <v>64</v>
      </c>
      <c r="L131" s="20" t="n">
        <v>12.9</v>
      </c>
      <c r="M131" s="18" t="n">
        <f aca="false">IFERROR(L131*(1-Premissas!$B$5)*(1-Premissas!$B$6)-H131-Premissas!$B$7,"")</f>
        <v>5.72411666666667</v>
      </c>
      <c r="N131" s="21" t="n">
        <f aca="false">IFERROR(M131/L131,"")</f>
        <v>0.443729974160207</v>
      </c>
      <c r="O131" s="18" t="n">
        <f aca="false">IFERROR(L131*(1-Premissas!$B$8)-Premissas!$B$9-H131-Premissas!$B$7,"")</f>
        <v>-1.30633333333333</v>
      </c>
      <c r="P131" s="18" t="n">
        <f aca="false">IFERROR(L131*(1-Premissas!$B$10)-Premissas!$B$11-H131-Premissas!$B$7,"")</f>
        <v>-0.0883333333333329</v>
      </c>
      <c r="Q131" s="18" t="n">
        <f aca="false">IFERROR(M131*F131,"")</f>
        <v>206.0682</v>
      </c>
      <c r="R131" s="22" t="n">
        <f aca="false">IFERROR(IF(M131&gt;0,ROUNDUP(Premissas!$B$12/M131,0),"sem lucro"),"")</f>
        <v>175</v>
      </c>
      <c r="S131" s="15" t="s">
        <v>252</v>
      </c>
      <c r="T131" s="23" t="s">
        <v>76</v>
      </c>
      <c r="U131" s="15" t="s">
        <v>256</v>
      </c>
      <c r="V131" s="18" t="n">
        <f aca="false">IF(AND(T131="S",ISNUMBER(L131),ISNUMBER(F131)),L131*F131*X131,0)</f>
        <v>0</v>
      </c>
      <c r="W131" s="18" t="n">
        <f aca="false">IF(AND(T131="S",ISNUMBER(Q131)),Q131*X131,0)</f>
        <v>0</v>
      </c>
      <c r="X131" s="23" t="n">
        <v>1</v>
      </c>
      <c r="Y131" s="18" t="n">
        <f aca="false">IF(AND(T131="S",ISNUMBER(G131)),G131*X131,0)</f>
        <v>0</v>
      </c>
    </row>
    <row r="132" customFormat="false" ht="15" hidden="false" customHeight="false" outlineLevel="0" collapsed="false">
      <c r="A132" s="14" t="s">
        <v>456</v>
      </c>
      <c r="B132" s="15" t="s">
        <v>457</v>
      </c>
      <c r="C132" s="14" t="s">
        <v>207</v>
      </c>
      <c r="D132" s="14" t="s">
        <v>125</v>
      </c>
      <c r="E132" s="14" t="n">
        <v>10</v>
      </c>
      <c r="F132" s="16" t="n">
        <v>24</v>
      </c>
      <c r="G132" s="17" t="n">
        <v>177.9</v>
      </c>
      <c r="H132" s="18" t="n">
        <f aca="false">IF(ISNUMBER(G132),IFERROR(G132/F132,""),"")</f>
        <v>7.4125</v>
      </c>
      <c r="I132" s="17" t="n">
        <v>12.9</v>
      </c>
      <c r="J132" s="17" t="n">
        <v>14.9</v>
      </c>
      <c r="K132" s="19" t="s">
        <v>64</v>
      </c>
      <c r="L132" s="20" t="n">
        <v>14.9</v>
      </c>
      <c r="M132" s="18" t="n">
        <f aca="false">IFERROR(L132*(1-Premissas!$B$5)*(1-Premissas!$B$6)-H132-Premissas!$B$7,"")</f>
        <v>5.60095</v>
      </c>
      <c r="N132" s="21" t="n">
        <f aca="false">IFERROR(M132/L132,"")</f>
        <v>0.375902684563758</v>
      </c>
      <c r="O132" s="18" t="n">
        <f aca="false">IFERROR(L132*(1-Premissas!$B$8)-Premissas!$B$9-H132-Premissas!$B$7,"")</f>
        <v>-1.5505</v>
      </c>
      <c r="P132" s="18" t="n">
        <f aca="false">IFERROR(L132*(1-Premissas!$B$10)-Premissas!$B$11-H132-Premissas!$B$7,"")</f>
        <v>-0.492499999999999</v>
      </c>
      <c r="Q132" s="18" t="n">
        <f aca="false">IFERROR(M132*F132,"")</f>
        <v>134.4228</v>
      </c>
      <c r="R132" s="22" t="n">
        <f aca="false">IFERROR(IF(M132&gt;0,ROUNDUP(Premissas!$B$12/M132,0),"sem lucro"),"")</f>
        <v>179</v>
      </c>
      <c r="S132" s="15" t="s">
        <v>82</v>
      </c>
      <c r="T132" s="23" t="s">
        <v>76</v>
      </c>
      <c r="U132" s="15" t="s">
        <v>458</v>
      </c>
      <c r="V132" s="18" t="n">
        <f aca="false">IF(AND(T132="S",ISNUMBER(L132),ISNUMBER(F132)),L132*F132*X132,0)</f>
        <v>0</v>
      </c>
      <c r="W132" s="18" t="n">
        <f aca="false">IF(AND(T132="S",ISNUMBER(Q132)),Q132*X132,0)</f>
        <v>0</v>
      </c>
      <c r="X132" s="23" t="n">
        <v>1</v>
      </c>
      <c r="Y132" s="18" t="n">
        <f aca="false">IF(AND(T132="S",ISNUMBER(G132)),G132*X132,0)</f>
        <v>0</v>
      </c>
    </row>
    <row r="133" customFormat="false" ht="15" hidden="false" customHeight="false" outlineLevel="0" collapsed="false">
      <c r="A133" s="14" t="s">
        <v>459</v>
      </c>
      <c r="B133" s="15" t="s">
        <v>460</v>
      </c>
      <c r="C133" s="14" t="s">
        <v>207</v>
      </c>
      <c r="D133" s="14" t="s">
        <v>117</v>
      </c>
      <c r="E133" s="14" t="n">
        <v>10</v>
      </c>
      <c r="F133" s="16" t="n">
        <v>24</v>
      </c>
      <c r="G133" s="17" t="n">
        <v>158.8</v>
      </c>
      <c r="H133" s="18" t="n">
        <f aca="false">IF(ISNUMBER(G133),IFERROR(G133/F133,""),"")</f>
        <v>6.61666666666667</v>
      </c>
      <c r="I133" s="17" t="n">
        <v>12.9</v>
      </c>
      <c r="J133" s="17" t="n">
        <v>12.9</v>
      </c>
      <c r="K133" s="19" t="s">
        <v>64</v>
      </c>
      <c r="L133" s="20" t="n">
        <v>12.9</v>
      </c>
      <c r="M133" s="18" t="n">
        <f aca="false">IFERROR(L133*(1-Premissas!$B$5)*(1-Premissas!$B$6)-H133-Premissas!$B$7,"")</f>
        <v>4.51578333333333</v>
      </c>
      <c r="N133" s="21" t="n">
        <f aca="false">IFERROR(M133/L133,"")</f>
        <v>0.350060723514212</v>
      </c>
      <c r="O133" s="18" t="n">
        <f aca="false">IFERROR(L133*(1-Premissas!$B$8)-Premissas!$B$9-H133-Premissas!$B$7,"")</f>
        <v>-2.51466666666667</v>
      </c>
      <c r="P133" s="18" t="n">
        <f aca="false">IFERROR(L133*(1-Premissas!$B$10)-Premissas!$B$11-H133-Premissas!$B$7,"")</f>
        <v>-1.29666666666667</v>
      </c>
      <c r="Q133" s="18" t="n">
        <f aca="false">IFERROR(M133*F133,"")</f>
        <v>108.3788</v>
      </c>
      <c r="R133" s="22" t="n">
        <f aca="false">IFERROR(IF(M133&gt;0,ROUNDUP(Premissas!$B$12/M133,0),"sem lucro"),"")</f>
        <v>222</v>
      </c>
      <c r="S133" s="15" t="s">
        <v>252</v>
      </c>
      <c r="T133" s="23" t="s">
        <v>76</v>
      </c>
      <c r="U133" s="15"/>
      <c r="V133" s="18" t="n">
        <f aca="false">IF(AND(T133="S",ISNUMBER(L133),ISNUMBER(F133)),L133*F133*X133,0)</f>
        <v>0</v>
      </c>
      <c r="W133" s="18" t="n">
        <f aca="false">IF(AND(T133="S",ISNUMBER(Q133)),Q133*X133,0)</f>
        <v>0</v>
      </c>
      <c r="X133" s="23" t="n">
        <v>1</v>
      </c>
      <c r="Y133" s="18" t="n">
        <f aca="false">IF(AND(T133="S",ISNUMBER(G133)),G133*X133,0)</f>
        <v>0</v>
      </c>
    </row>
    <row r="134" customFormat="false" ht="15" hidden="false" customHeight="false" outlineLevel="0" collapsed="false">
      <c r="A134" s="14" t="s">
        <v>461</v>
      </c>
      <c r="B134" s="15" t="s">
        <v>462</v>
      </c>
      <c r="C134" s="14" t="s">
        <v>207</v>
      </c>
      <c r="D134" s="14" t="s">
        <v>117</v>
      </c>
      <c r="E134" s="14" t="n">
        <v>11</v>
      </c>
      <c r="F134" s="16" t="n">
        <v>48</v>
      </c>
      <c r="G134" s="17" t="n">
        <v>304.6</v>
      </c>
      <c r="H134" s="18" t="n">
        <f aca="false">IF(ISNUMBER(G134),IFERROR(G134/F134,""),"")</f>
        <v>6.34583333333333</v>
      </c>
      <c r="I134" s="17" t="n">
        <v>7.69</v>
      </c>
      <c r="J134" s="17" t="n">
        <v>12.9</v>
      </c>
      <c r="K134" s="19" t="s">
        <v>64</v>
      </c>
      <c r="L134" s="20" t="n">
        <v>9.9</v>
      </c>
      <c r="M134" s="18" t="n">
        <f aca="false">IFERROR(L134*(1-Premissas!$B$5)*(1-Premissas!$B$6)-H134-Premissas!$B$7,"")</f>
        <v>1.96511666666667</v>
      </c>
      <c r="N134" s="21" t="n">
        <f aca="false">IFERROR(M134/L134,"")</f>
        <v>0.198496632996633</v>
      </c>
      <c r="O134" s="18" t="n">
        <f aca="false">IFERROR(L134*(1-Premissas!$B$8)-Premissas!$B$9-H134-Premissas!$B$7,"")</f>
        <v>-4.88383333333333</v>
      </c>
      <c r="P134" s="18" t="n">
        <f aca="false">IFERROR(L134*(1-Premissas!$B$10)-Premissas!$B$11-H134-Premissas!$B$7,"")</f>
        <v>-3.42583333333333</v>
      </c>
      <c r="Q134" s="18" t="n">
        <f aca="false">IFERROR(M134*F134,"")</f>
        <v>94.3256</v>
      </c>
      <c r="R134" s="22" t="n">
        <f aca="false">IFERROR(IF(M134&gt;0,ROUNDUP(Premissas!$B$12/M134,0),"sem lucro"),"")</f>
        <v>509</v>
      </c>
      <c r="S134" s="15" t="s">
        <v>266</v>
      </c>
      <c r="T134" s="23" t="s">
        <v>76</v>
      </c>
      <c r="U134" s="15" t="s">
        <v>463</v>
      </c>
      <c r="V134" s="18" t="n">
        <f aca="false">IF(AND(T134="S",ISNUMBER(L134),ISNUMBER(F134)),L134*F134*X134,0)</f>
        <v>0</v>
      </c>
      <c r="W134" s="18" t="n">
        <f aca="false">IF(AND(T134="S",ISNUMBER(Q134)),Q134*X134,0)</f>
        <v>0</v>
      </c>
      <c r="X134" s="23" t="n">
        <v>1</v>
      </c>
      <c r="Y134" s="18" t="n">
        <f aca="false">IF(AND(T134="S",ISNUMBER(G134)),G134*X134,0)</f>
        <v>0</v>
      </c>
    </row>
    <row r="135" customFormat="false" ht="15" hidden="false" customHeight="false" outlineLevel="0" collapsed="false">
      <c r="A135" s="14" t="s">
        <v>464</v>
      </c>
      <c r="B135" s="15" t="s">
        <v>465</v>
      </c>
      <c r="C135" s="14" t="s">
        <v>178</v>
      </c>
      <c r="D135" s="14" t="s">
        <v>157</v>
      </c>
      <c r="E135" s="14" t="n">
        <v>11</v>
      </c>
      <c r="F135" s="16" t="n">
        <v>1</v>
      </c>
      <c r="G135" s="17" t="n">
        <v>6.2</v>
      </c>
      <c r="H135" s="18" t="n">
        <f aca="false">IF(ISNUMBER(G135),IFERROR(G135/F135,""),"")</f>
        <v>6.2</v>
      </c>
      <c r="I135" s="17" t="n">
        <v>12.9</v>
      </c>
      <c r="J135" s="17" t="n">
        <v>14.9</v>
      </c>
      <c r="K135" s="19" t="s">
        <v>64</v>
      </c>
      <c r="L135" s="20" t="n">
        <v>14.9</v>
      </c>
      <c r="M135" s="18" t="n">
        <f aca="false">IFERROR(L135*(1-Premissas!$B$5)*(1-Premissas!$B$6)-H135-Premissas!$B$7,"")</f>
        <v>6.81345</v>
      </c>
      <c r="N135" s="21" t="n">
        <f aca="false">IFERROR(M135/L135,"")</f>
        <v>0.457278523489933</v>
      </c>
      <c r="O135" s="18" t="n">
        <f aca="false">IFERROR(L135*(1-Premissas!$B$8)-Premissas!$B$9-H135-Premissas!$B$7,"")</f>
        <v>-0.338</v>
      </c>
      <c r="P135" s="18" t="n">
        <f aca="false">IFERROR(L135*(1-Premissas!$B$10)-Premissas!$B$11-H135-Premissas!$B$7,"")</f>
        <v>0.720000000000002</v>
      </c>
      <c r="Q135" s="18" t="n">
        <f aca="false">IFERROR(M135*F135,"")</f>
        <v>6.81345</v>
      </c>
      <c r="R135" s="22" t="n">
        <f aca="false">IFERROR(IF(M135&gt;0,ROUNDUP(Premissas!$B$12/M135,0),"sem lucro"),"")</f>
        <v>147</v>
      </c>
      <c r="S135" s="15" t="s">
        <v>82</v>
      </c>
      <c r="T135" s="23" t="s">
        <v>76</v>
      </c>
      <c r="U135" s="15" t="s">
        <v>466</v>
      </c>
      <c r="V135" s="18" t="n">
        <f aca="false">IF(AND(T135="S",ISNUMBER(L135),ISNUMBER(F135)),L135*F135*X135,0)</f>
        <v>0</v>
      </c>
      <c r="W135" s="18" t="n">
        <f aca="false">IF(AND(T135="S",ISNUMBER(Q135)),Q135*X135,0)</f>
        <v>0</v>
      </c>
      <c r="X135" s="23" t="n">
        <v>12</v>
      </c>
      <c r="Y135" s="18" t="n">
        <f aca="false">IF(AND(T135="S",ISNUMBER(G135)),G135*X135,0)</f>
        <v>0</v>
      </c>
    </row>
    <row r="136" customFormat="false" ht="15" hidden="false" customHeight="false" outlineLevel="0" collapsed="false">
      <c r="A136" s="14" t="s">
        <v>467</v>
      </c>
      <c r="B136" s="15" t="s">
        <v>468</v>
      </c>
      <c r="C136" s="14" t="s">
        <v>178</v>
      </c>
      <c r="D136" s="14" t="s">
        <v>63</v>
      </c>
      <c r="E136" s="14" t="n">
        <v>11</v>
      </c>
      <c r="F136" s="16" t="n">
        <v>24</v>
      </c>
      <c r="G136" s="17" t="n">
        <v>151.5</v>
      </c>
      <c r="H136" s="18" t="n">
        <f aca="false">IF(ISNUMBER(G136),IFERROR(G136/F136,""),"")</f>
        <v>6.3125</v>
      </c>
      <c r="I136" s="17" t="n">
        <v>12.9</v>
      </c>
      <c r="J136" s="17" t="n">
        <v>12.9</v>
      </c>
      <c r="K136" s="19" t="s">
        <v>64</v>
      </c>
      <c r="L136" s="20" t="n">
        <v>12.9</v>
      </c>
      <c r="M136" s="18" t="n">
        <f aca="false">IFERROR(L136*(1-Premissas!$B$5)*(1-Premissas!$B$6)-H136-Premissas!$B$7,"")</f>
        <v>4.81995</v>
      </c>
      <c r="N136" s="21" t="n">
        <f aca="false">IFERROR(M136/L136,"")</f>
        <v>0.373639534883721</v>
      </c>
      <c r="O136" s="18" t="n">
        <f aca="false">IFERROR(L136*(1-Premissas!$B$8)-Premissas!$B$9-H136-Premissas!$B$7,"")</f>
        <v>-2.2105</v>
      </c>
      <c r="P136" s="18" t="n">
        <f aca="false">IFERROR(L136*(1-Premissas!$B$10)-Premissas!$B$11-H136-Premissas!$B$7,"")</f>
        <v>-0.9925</v>
      </c>
      <c r="Q136" s="18" t="n">
        <f aca="false">IFERROR(M136*F136,"")</f>
        <v>115.6788</v>
      </c>
      <c r="R136" s="22" t="n">
        <f aca="false">IFERROR(IF(M136&gt;0,ROUNDUP(Premissas!$B$12/M136,0),"sem lucro"),"")</f>
        <v>208</v>
      </c>
      <c r="S136" s="15" t="s">
        <v>82</v>
      </c>
      <c r="T136" s="23" t="s">
        <v>76</v>
      </c>
      <c r="U136" s="15"/>
      <c r="V136" s="18" t="n">
        <f aca="false">IF(AND(T136="S",ISNUMBER(L136),ISNUMBER(F136)),L136*F136*X136,0)</f>
        <v>0</v>
      </c>
      <c r="W136" s="18" t="n">
        <f aca="false">IF(AND(T136="S",ISNUMBER(Q136)),Q136*X136,0)</f>
        <v>0</v>
      </c>
      <c r="X136" s="23" t="n">
        <v>1</v>
      </c>
      <c r="Y136" s="18" t="n">
        <f aca="false">IF(AND(T136="S",ISNUMBER(G136)),G136*X136,0)</f>
        <v>0</v>
      </c>
    </row>
    <row r="137" customFormat="false" ht="15" hidden="false" customHeight="false" outlineLevel="0" collapsed="false">
      <c r="A137" s="14" t="s">
        <v>469</v>
      </c>
      <c r="B137" s="15" t="s">
        <v>470</v>
      </c>
      <c r="C137" s="14" t="s">
        <v>178</v>
      </c>
      <c r="D137" s="14" t="s">
        <v>117</v>
      </c>
      <c r="E137" s="14" t="n">
        <v>11</v>
      </c>
      <c r="F137" s="16" t="n">
        <v>24</v>
      </c>
      <c r="G137" s="17" t="n">
        <v>151.5</v>
      </c>
      <c r="H137" s="18" t="n">
        <f aca="false">IF(ISNUMBER(G137),IFERROR(G137/F137,""),"")</f>
        <v>6.3125</v>
      </c>
      <c r="I137" s="17" t="n">
        <v>7.52</v>
      </c>
      <c r="J137" s="17" t="n">
        <v>10</v>
      </c>
      <c r="K137" s="19" t="s">
        <v>64</v>
      </c>
      <c r="L137" s="20" t="n">
        <v>11.9</v>
      </c>
      <c r="M137" s="18" t="n">
        <f aca="false">IFERROR(L137*(1-Premissas!$B$5)*(1-Premissas!$B$6)-H137-Premissas!$B$7,"")</f>
        <v>3.87945</v>
      </c>
      <c r="N137" s="21" t="n">
        <f aca="false">IFERROR(M137/L137,"")</f>
        <v>0.326004201680672</v>
      </c>
      <c r="O137" s="18" t="n">
        <f aca="false">IFERROR(L137*(1-Premissas!$B$8)-Premissas!$B$9-H137-Premissas!$B$7,"")</f>
        <v>-3.0905</v>
      </c>
      <c r="P137" s="18" t="n">
        <f aca="false">IFERROR(L137*(1-Premissas!$B$10)-Premissas!$B$11-H137-Premissas!$B$7,"")</f>
        <v>-1.7925</v>
      </c>
      <c r="Q137" s="18" t="n">
        <f aca="false">IFERROR(M137*F137,"")</f>
        <v>93.1068</v>
      </c>
      <c r="R137" s="22" t="n">
        <f aca="false">IFERROR(IF(M137&gt;0,ROUNDUP(Premissas!$B$12/M137,0),"sem lucro"),"")</f>
        <v>258</v>
      </c>
      <c r="S137" s="15" t="s">
        <v>252</v>
      </c>
      <c r="T137" s="23" t="s">
        <v>76</v>
      </c>
      <c r="U137" s="15"/>
      <c r="V137" s="18" t="n">
        <f aca="false">IF(AND(T137="S",ISNUMBER(L137),ISNUMBER(F137)),L137*F137*X137,0)</f>
        <v>0</v>
      </c>
      <c r="W137" s="18" t="n">
        <f aca="false">IF(AND(T137="S",ISNUMBER(Q137)),Q137*X137,0)</f>
        <v>0</v>
      </c>
      <c r="X137" s="23" t="n">
        <v>1</v>
      </c>
      <c r="Y137" s="18" t="n">
        <f aca="false">IF(AND(T137="S",ISNUMBER(G137)),G137*X137,0)</f>
        <v>0</v>
      </c>
    </row>
    <row r="138" customFormat="false" ht="15" hidden="false" customHeight="false" outlineLevel="0" collapsed="false">
      <c r="A138" s="14" t="s">
        <v>471</v>
      </c>
      <c r="B138" s="15" t="s">
        <v>472</v>
      </c>
      <c r="C138" s="14" t="s">
        <v>178</v>
      </c>
      <c r="D138" s="14" t="s">
        <v>117</v>
      </c>
      <c r="E138" s="14" t="n">
        <v>11</v>
      </c>
      <c r="F138" s="16" t="n">
        <v>24</v>
      </c>
      <c r="G138" s="17" t="n">
        <v>144.4</v>
      </c>
      <c r="H138" s="18" t="n">
        <f aca="false">IF(ISNUMBER(G138),IFERROR(G138/F138,""),"")</f>
        <v>6.01666666666667</v>
      </c>
      <c r="I138" s="17" t="n">
        <v>7.52</v>
      </c>
      <c r="J138" s="17" t="n">
        <v>10</v>
      </c>
      <c r="K138" s="19" t="s">
        <v>64</v>
      </c>
      <c r="L138" s="20" t="n">
        <v>11.9</v>
      </c>
      <c r="M138" s="18" t="n">
        <f aca="false">IFERROR(L138*(1-Premissas!$B$5)*(1-Premissas!$B$6)-H138-Premissas!$B$7,"")</f>
        <v>4.17528333333333</v>
      </c>
      <c r="N138" s="21" t="n">
        <f aca="false">IFERROR(M138/L138,"")</f>
        <v>0.350864145658263</v>
      </c>
      <c r="O138" s="18" t="n">
        <f aca="false">IFERROR(L138*(1-Premissas!$B$8)-Premissas!$B$9-H138-Premissas!$B$7,"")</f>
        <v>-2.79466666666667</v>
      </c>
      <c r="P138" s="18" t="n">
        <f aca="false">IFERROR(L138*(1-Premissas!$B$10)-Premissas!$B$11-H138-Premissas!$B$7,"")</f>
        <v>-1.49666666666667</v>
      </c>
      <c r="Q138" s="18" t="n">
        <f aca="false">IFERROR(M138*F138,"")</f>
        <v>100.2068</v>
      </c>
      <c r="R138" s="22" t="n">
        <f aca="false">IFERROR(IF(M138&gt;0,ROUNDUP(Premissas!$B$12/M138,0),"sem lucro"),"")</f>
        <v>240</v>
      </c>
      <c r="S138" s="15" t="s">
        <v>252</v>
      </c>
      <c r="T138" s="23" t="s">
        <v>76</v>
      </c>
      <c r="U138" s="15"/>
      <c r="V138" s="18" t="n">
        <f aca="false">IF(AND(T138="S",ISNUMBER(L138),ISNUMBER(F138)),L138*F138*X138,0)</f>
        <v>0</v>
      </c>
      <c r="W138" s="18" t="n">
        <f aca="false">IF(AND(T138="S",ISNUMBER(Q138)),Q138*X138,0)</f>
        <v>0</v>
      </c>
      <c r="X138" s="23" t="n">
        <v>1</v>
      </c>
      <c r="Y138" s="18" t="n">
        <f aca="false">IF(AND(T138="S",ISNUMBER(G138)),G138*X138,0)</f>
        <v>0</v>
      </c>
    </row>
    <row r="139" customFormat="false" ht="15" hidden="false" customHeight="false" outlineLevel="0" collapsed="false">
      <c r="A139" s="14" t="s">
        <v>473</v>
      </c>
      <c r="B139" s="15" t="s">
        <v>474</v>
      </c>
      <c r="C139" s="14" t="s">
        <v>207</v>
      </c>
      <c r="D139" s="14" t="s">
        <v>117</v>
      </c>
      <c r="E139" s="14" t="n">
        <v>11</v>
      </c>
      <c r="F139" s="16" t="n">
        <v>24</v>
      </c>
      <c r="G139" s="17" t="n">
        <v>158.8</v>
      </c>
      <c r="H139" s="18" t="n">
        <f aca="false">IF(ISNUMBER(G139),IFERROR(G139/F139,""),"")</f>
        <v>6.61666666666667</v>
      </c>
      <c r="I139" s="17" t="n">
        <v>12.9</v>
      </c>
      <c r="J139" s="17" t="n">
        <v>12.9</v>
      </c>
      <c r="K139" s="19" t="s">
        <v>64</v>
      </c>
      <c r="L139" s="20" t="n">
        <v>12.9</v>
      </c>
      <c r="M139" s="18" t="n">
        <f aca="false">IFERROR(L139*(1-Premissas!$B$5)*(1-Premissas!$B$6)-H139-Premissas!$B$7,"")</f>
        <v>4.51578333333333</v>
      </c>
      <c r="N139" s="21" t="n">
        <f aca="false">IFERROR(M139/L139,"")</f>
        <v>0.350060723514212</v>
      </c>
      <c r="O139" s="18" t="n">
        <f aca="false">IFERROR(L139*(1-Premissas!$B$8)-Premissas!$B$9-H139-Premissas!$B$7,"")</f>
        <v>-2.51466666666667</v>
      </c>
      <c r="P139" s="18" t="n">
        <f aca="false">IFERROR(L139*(1-Premissas!$B$10)-Premissas!$B$11-H139-Premissas!$B$7,"")</f>
        <v>-1.29666666666667</v>
      </c>
      <c r="Q139" s="18" t="n">
        <f aca="false">IFERROR(M139*F139,"")</f>
        <v>108.3788</v>
      </c>
      <c r="R139" s="22" t="n">
        <f aca="false">IFERROR(IF(M139&gt;0,ROUNDUP(Premissas!$B$12/M139,0),"sem lucro"),"")</f>
        <v>222</v>
      </c>
      <c r="S139" s="15" t="s">
        <v>252</v>
      </c>
      <c r="T139" s="23" t="s">
        <v>76</v>
      </c>
      <c r="U139" s="15"/>
      <c r="V139" s="18" t="n">
        <f aca="false">IF(AND(T139="S",ISNUMBER(L139),ISNUMBER(F139)),L139*F139*X139,0)</f>
        <v>0</v>
      </c>
      <c r="W139" s="18" t="n">
        <f aca="false">IF(AND(T139="S",ISNUMBER(Q139)),Q139*X139,0)</f>
        <v>0</v>
      </c>
      <c r="X139" s="23" t="n">
        <v>1</v>
      </c>
      <c r="Y139" s="18" t="n">
        <f aca="false">IF(AND(T139="S",ISNUMBER(G139)),G139*X139,0)</f>
        <v>0</v>
      </c>
    </row>
    <row r="140" customFormat="false" ht="15" hidden="false" customHeight="false" outlineLevel="0" collapsed="false">
      <c r="A140" s="14" t="s">
        <v>475</v>
      </c>
      <c r="B140" s="15" t="s">
        <v>476</v>
      </c>
      <c r="C140" s="14" t="s">
        <v>207</v>
      </c>
      <c r="D140" s="14" t="s">
        <v>117</v>
      </c>
      <c r="E140" s="14" t="n">
        <v>11</v>
      </c>
      <c r="F140" s="16" t="n">
        <v>24</v>
      </c>
      <c r="G140" s="17" t="n">
        <v>126.4</v>
      </c>
      <c r="H140" s="18" t="n">
        <f aca="false">IF(ISNUMBER(G140),IFERROR(G140/F140,""),"")</f>
        <v>5.26666666666667</v>
      </c>
      <c r="I140" s="17" t="n">
        <v>12.9</v>
      </c>
      <c r="J140" s="17" t="n">
        <v>12.9</v>
      </c>
      <c r="K140" s="19" t="s">
        <v>64</v>
      </c>
      <c r="L140" s="20" t="n">
        <v>12.9</v>
      </c>
      <c r="M140" s="18" t="n">
        <f aca="false">IFERROR(L140*(1-Premissas!$B$5)*(1-Premissas!$B$6)-H140-Premissas!$B$7,"")</f>
        <v>5.86578333333333</v>
      </c>
      <c r="N140" s="21" t="n">
        <f aca="false">IFERROR(M140/L140,"")</f>
        <v>0.454711886304909</v>
      </c>
      <c r="O140" s="18" t="n">
        <f aca="false">IFERROR(L140*(1-Premissas!$B$8)-Premissas!$B$9-H140-Premissas!$B$7,"")</f>
        <v>-1.16466666666667</v>
      </c>
      <c r="P140" s="18" t="n">
        <f aca="false">IFERROR(L140*(1-Premissas!$B$10)-Premissas!$B$11-H140-Premissas!$B$7,"")</f>
        <v>0.0533333333333337</v>
      </c>
      <c r="Q140" s="18" t="n">
        <f aca="false">IFERROR(M140*F140,"")</f>
        <v>140.7788</v>
      </c>
      <c r="R140" s="22" t="n">
        <f aca="false">IFERROR(IF(M140&gt;0,ROUNDUP(Premissas!$B$12/M140,0),"sem lucro"),"")</f>
        <v>171</v>
      </c>
      <c r="S140" s="15" t="s">
        <v>252</v>
      </c>
      <c r="T140" s="23" t="s">
        <v>76</v>
      </c>
      <c r="U140" s="15"/>
      <c r="V140" s="18" t="n">
        <f aca="false">IF(AND(T140="S",ISNUMBER(L140),ISNUMBER(F140)),L140*F140*X140,0)</f>
        <v>0</v>
      </c>
      <c r="W140" s="18" t="n">
        <f aca="false">IF(AND(T140="S",ISNUMBER(Q140)),Q140*X140,0)</f>
        <v>0</v>
      </c>
      <c r="X140" s="23" t="n">
        <v>1</v>
      </c>
      <c r="Y140" s="18" t="n">
        <f aca="false">IF(AND(T140="S",ISNUMBER(G140)),G140*X140,0)</f>
        <v>0</v>
      </c>
    </row>
    <row r="141" customFormat="false" ht="15" hidden="false" customHeight="false" outlineLevel="0" collapsed="false">
      <c r="A141" s="14" t="s">
        <v>477</v>
      </c>
      <c r="B141" s="15" t="s">
        <v>478</v>
      </c>
      <c r="C141" s="14" t="s">
        <v>207</v>
      </c>
      <c r="D141" s="14" t="s">
        <v>117</v>
      </c>
      <c r="E141" s="14" t="n">
        <v>11</v>
      </c>
      <c r="F141" s="16" t="n">
        <v>48</v>
      </c>
      <c r="G141" s="17" t="n">
        <v>317.6</v>
      </c>
      <c r="H141" s="18" t="n">
        <f aca="false">IF(ISNUMBER(G141),IFERROR(G141/F141,""),"")</f>
        <v>6.61666666666667</v>
      </c>
      <c r="I141" s="17" t="n">
        <v>10</v>
      </c>
      <c r="J141" s="17" t="n">
        <v>24.99</v>
      </c>
      <c r="K141" s="19" t="s">
        <v>64</v>
      </c>
      <c r="L141" s="20" t="n">
        <v>14.9</v>
      </c>
      <c r="M141" s="18" t="n">
        <f aca="false">IFERROR(L141*(1-Premissas!$B$5)*(1-Premissas!$B$6)-H141-Premissas!$B$7,"")</f>
        <v>6.39678333333333</v>
      </c>
      <c r="N141" s="21" t="n">
        <f aca="false">IFERROR(M141/L141,"")</f>
        <v>0.429314317673378</v>
      </c>
      <c r="O141" s="18" t="n">
        <f aca="false">IFERROR(L141*(1-Premissas!$B$8)-Premissas!$B$9-H141-Premissas!$B$7,"")</f>
        <v>-0.754666666666667</v>
      </c>
      <c r="P141" s="18" t="n">
        <f aca="false">IFERROR(L141*(1-Premissas!$B$10)-Premissas!$B$11-H141-Premissas!$B$7,"")</f>
        <v>0.303333333333335</v>
      </c>
      <c r="Q141" s="18" t="n">
        <f aca="false">IFERROR(M141*F141,"")</f>
        <v>307.0456</v>
      </c>
      <c r="R141" s="22" t="n">
        <f aca="false">IFERROR(IF(M141&gt;0,ROUNDUP(Premissas!$B$12/M141,0),"sem lucro"),"")</f>
        <v>157</v>
      </c>
      <c r="S141" s="15" t="s">
        <v>479</v>
      </c>
      <c r="T141" s="23" t="s">
        <v>76</v>
      </c>
      <c r="U141" s="15" t="s">
        <v>208</v>
      </c>
      <c r="V141" s="18" t="n">
        <f aca="false">IF(AND(T141="S",ISNUMBER(L141),ISNUMBER(F141)),L141*F141*X141,0)</f>
        <v>0</v>
      </c>
      <c r="W141" s="18" t="n">
        <f aca="false">IF(AND(T141="S",ISNUMBER(Q141)),Q141*X141,0)</f>
        <v>0</v>
      </c>
      <c r="X141" s="23" t="n">
        <v>1</v>
      </c>
      <c r="Y141" s="18" t="n">
        <f aca="false">IF(AND(T141="S",ISNUMBER(G141)),G141*X141,0)</f>
        <v>0</v>
      </c>
    </row>
    <row r="142" customFormat="false" ht="15" hidden="false" customHeight="false" outlineLevel="0" collapsed="false">
      <c r="A142" s="14" t="s">
        <v>480</v>
      </c>
      <c r="B142" s="15" t="s">
        <v>481</v>
      </c>
      <c r="C142" s="14" t="s">
        <v>207</v>
      </c>
      <c r="D142" s="14" t="s">
        <v>63</v>
      </c>
      <c r="E142" s="14" t="n">
        <v>11</v>
      </c>
      <c r="F142" s="16" t="n">
        <v>24</v>
      </c>
      <c r="G142" s="17" t="n">
        <v>158.8</v>
      </c>
      <c r="H142" s="18" t="n">
        <f aca="false">IF(ISNUMBER(G142),IFERROR(G142/F142,""),"")</f>
        <v>6.61666666666667</v>
      </c>
      <c r="I142" s="17" t="n">
        <v>14.9</v>
      </c>
      <c r="J142" s="17" t="n">
        <v>18.5</v>
      </c>
      <c r="K142" s="19" t="s">
        <v>64</v>
      </c>
      <c r="L142" s="20" t="n">
        <v>14.9</v>
      </c>
      <c r="M142" s="18" t="n">
        <f aca="false">IFERROR(L142*(1-Premissas!$B$5)*(1-Premissas!$B$6)-H142-Premissas!$B$7,"")</f>
        <v>6.39678333333333</v>
      </c>
      <c r="N142" s="21" t="n">
        <f aca="false">IFERROR(M142/L142,"")</f>
        <v>0.429314317673378</v>
      </c>
      <c r="O142" s="18" t="n">
        <f aca="false">IFERROR(L142*(1-Premissas!$B$8)-Premissas!$B$9-H142-Premissas!$B$7,"")</f>
        <v>-0.754666666666667</v>
      </c>
      <c r="P142" s="18" t="n">
        <f aca="false">IFERROR(L142*(1-Premissas!$B$10)-Premissas!$B$11-H142-Premissas!$B$7,"")</f>
        <v>0.303333333333335</v>
      </c>
      <c r="Q142" s="18" t="n">
        <f aca="false">IFERROR(M142*F142,"")</f>
        <v>153.5228</v>
      </c>
      <c r="R142" s="22" t="n">
        <f aca="false">IFERROR(IF(M142&gt;0,ROUNDUP(Premissas!$B$12/M142,0),"sem lucro"),"")</f>
        <v>157</v>
      </c>
      <c r="S142" s="15" t="s">
        <v>82</v>
      </c>
      <c r="T142" s="23" t="s">
        <v>76</v>
      </c>
      <c r="U142" s="15"/>
      <c r="V142" s="18" t="n">
        <f aca="false">IF(AND(T142="S",ISNUMBER(L142),ISNUMBER(F142)),L142*F142*X142,0)</f>
        <v>0</v>
      </c>
      <c r="W142" s="18" t="n">
        <f aca="false">IF(AND(T142="S",ISNUMBER(Q142)),Q142*X142,0)</f>
        <v>0</v>
      </c>
      <c r="X142" s="23" t="n">
        <v>1</v>
      </c>
      <c r="Y142" s="18" t="n">
        <f aca="false">IF(AND(T142="S",ISNUMBER(G142)),G142*X142,0)</f>
        <v>0</v>
      </c>
    </row>
    <row r="143" customFormat="false" ht="15" hidden="false" customHeight="false" outlineLevel="0" collapsed="false">
      <c r="A143" s="14" t="s">
        <v>482</v>
      </c>
      <c r="B143" s="15" t="s">
        <v>483</v>
      </c>
      <c r="C143" s="14" t="s">
        <v>207</v>
      </c>
      <c r="D143" s="14" t="s">
        <v>117</v>
      </c>
      <c r="E143" s="14" t="n">
        <v>11</v>
      </c>
      <c r="F143" s="16" t="n">
        <v>24</v>
      </c>
      <c r="G143" s="17" t="n">
        <v>160.4</v>
      </c>
      <c r="H143" s="18" t="n">
        <f aca="false">IF(ISNUMBER(G143),IFERROR(G143/F143,""),"")</f>
        <v>6.68333333333333</v>
      </c>
      <c r="I143" s="17" t="n">
        <v>12.9</v>
      </c>
      <c r="J143" s="17" t="n">
        <v>12.9</v>
      </c>
      <c r="K143" s="19" t="s">
        <v>64</v>
      </c>
      <c r="L143" s="20" t="n">
        <v>12.9</v>
      </c>
      <c r="M143" s="18" t="n">
        <f aca="false">IFERROR(L143*(1-Premissas!$B$5)*(1-Premissas!$B$6)-H143-Premissas!$B$7,"")</f>
        <v>4.44911666666667</v>
      </c>
      <c r="N143" s="21" t="n">
        <f aca="false">IFERROR(M143/L143,"")</f>
        <v>0.344892764857881</v>
      </c>
      <c r="O143" s="18" t="n">
        <f aca="false">IFERROR(L143*(1-Premissas!$B$8)-Premissas!$B$9-H143-Premissas!$B$7,"")</f>
        <v>-2.58133333333333</v>
      </c>
      <c r="P143" s="18" t="n">
        <f aca="false">IFERROR(L143*(1-Premissas!$B$10)-Premissas!$B$11-H143-Premissas!$B$7,"")</f>
        <v>-1.36333333333333</v>
      </c>
      <c r="Q143" s="18" t="n">
        <f aca="false">IFERROR(M143*F143,"")</f>
        <v>106.7788</v>
      </c>
      <c r="R143" s="22" t="n">
        <f aca="false">IFERROR(IF(M143&gt;0,ROUNDUP(Premissas!$B$12/M143,0),"sem lucro"),"")</f>
        <v>225</v>
      </c>
      <c r="S143" s="15" t="s">
        <v>252</v>
      </c>
      <c r="T143" s="23" t="s">
        <v>76</v>
      </c>
      <c r="U143" s="15"/>
      <c r="V143" s="18" t="n">
        <f aca="false">IF(AND(T143="S",ISNUMBER(L143),ISNUMBER(F143)),L143*F143*X143,0)</f>
        <v>0</v>
      </c>
      <c r="W143" s="18" t="n">
        <f aca="false">IF(AND(T143="S",ISNUMBER(Q143)),Q143*X143,0)</f>
        <v>0</v>
      </c>
      <c r="X143" s="23" t="n">
        <v>1</v>
      </c>
      <c r="Y143" s="18" t="n">
        <f aca="false">IF(AND(T143="S",ISNUMBER(G143)),G143*X143,0)</f>
        <v>0</v>
      </c>
    </row>
    <row r="144" customFormat="false" ht="15" hidden="false" customHeight="false" outlineLevel="0" collapsed="false">
      <c r="A144" s="14" t="s">
        <v>484</v>
      </c>
      <c r="B144" s="15" t="s">
        <v>485</v>
      </c>
      <c r="C144" s="14" t="s">
        <v>207</v>
      </c>
      <c r="D144" s="14" t="s">
        <v>63</v>
      </c>
      <c r="E144" s="14" t="n">
        <v>11</v>
      </c>
      <c r="F144" s="16" t="n">
        <v>24</v>
      </c>
      <c r="G144" s="17" t="n">
        <v>126.4</v>
      </c>
      <c r="H144" s="18" t="n">
        <f aca="false">IF(ISNUMBER(G144),IFERROR(G144/F144,""),"")</f>
        <v>5.26666666666667</v>
      </c>
      <c r="I144" s="17" t="n">
        <v>12.9</v>
      </c>
      <c r="J144" s="17" t="n">
        <v>12.9</v>
      </c>
      <c r="K144" s="19" t="s">
        <v>64</v>
      </c>
      <c r="L144" s="20" t="n">
        <v>12.9</v>
      </c>
      <c r="M144" s="18" t="n">
        <f aca="false">IFERROR(L144*(1-Premissas!$B$5)*(1-Premissas!$B$6)-H144-Premissas!$B$7,"")</f>
        <v>5.86578333333333</v>
      </c>
      <c r="N144" s="21" t="n">
        <f aca="false">IFERROR(M144/L144,"")</f>
        <v>0.454711886304909</v>
      </c>
      <c r="O144" s="18" t="n">
        <f aca="false">IFERROR(L144*(1-Premissas!$B$8)-Premissas!$B$9-H144-Premissas!$B$7,"")</f>
        <v>-1.16466666666667</v>
      </c>
      <c r="P144" s="18" t="n">
        <f aca="false">IFERROR(L144*(1-Premissas!$B$10)-Premissas!$B$11-H144-Premissas!$B$7,"")</f>
        <v>0.0533333333333337</v>
      </c>
      <c r="Q144" s="18" t="n">
        <f aca="false">IFERROR(M144*F144,"")</f>
        <v>140.7788</v>
      </c>
      <c r="R144" s="22" t="n">
        <f aca="false">IFERROR(IF(M144&gt;0,ROUNDUP(Premissas!$B$12/M144,0),"sem lucro"),"")</f>
        <v>171</v>
      </c>
      <c r="S144" s="15" t="s">
        <v>266</v>
      </c>
      <c r="T144" s="23" t="s">
        <v>76</v>
      </c>
      <c r="U144" s="15" t="s">
        <v>486</v>
      </c>
      <c r="V144" s="18" t="n">
        <f aca="false">IF(AND(T144="S",ISNUMBER(L144),ISNUMBER(F144)),L144*F144*X144,0)</f>
        <v>0</v>
      </c>
      <c r="W144" s="18" t="n">
        <f aca="false">IF(AND(T144="S",ISNUMBER(Q144)),Q144*X144,0)</f>
        <v>0</v>
      </c>
      <c r="X144" s="23" t="n">
        <v>1</v>
      </c>
      <c r="Y144" s="18" t="n">
        <f aca="false">IF(AND(T144="S",ISNUMBER(G144)),G144*X144,0)</f>
        <v>0</v>
      </c>
    </row>
    <row r="145" customFormat="false" ht="15" hidden="false" customHeight="false" outlineLevel="0" collapsed="false">
      <c r="A145" s="14" t="s">
        <v>487</v>
      </c>
      <c r="B145" s="15" t="s">
        <v>488</v>
      </c>
      <c r="C145" s="14" t="s">
        <v>259</v>
      </c>
      <c r="D145" s="14" t="s">
        <v>108</v>
      </c>
      <c r="E145" s="14" t="n">
        <v>11</v>
      </c>
      <c r="F145" s="16" t="n">
        <v>1</v>
      </c>
      <c r="G145" s="17" t="n">
        <v>3.99</v>
      </c>
      <c r="H145" s="18" t="n">
        <f aca="false">IF(ISNUMBER(G145),IFERROR(G145/F145,""),"")</f>
        <v>3.99</v>
      </c>
      <c r="I145" s="17" t="n">
        <v>7.9</v>
      </c>
      <c r="J145" s="17" t="n">
        <v>9.9</v>
      </c>
      <c r="K145" s="19" t="s">
        <v>64</v>
      </c>
      <c r="L145" s="20" t="n">
        <v>8.9</v>
      </c>
      <c r="M145" s="18" t="n">
        <f aca="false">IFERROR(L145*(1-Premissas!$B$5)*(1-Premissas!$B$6)-H145-Premissas!$B$7,"")</f>
        <v>3.38045</v>
      </c>
      <c r="N145" s="21" t="n">
        <f aca="false">IFERROR(M145/L145,"")</f>
        <v>0.379825842696629</v>
      </c>
      <c r="O145" s="18" t="n">
        <f aca="false">IFERROR(L145*(1-Premissas!$B$8)-Premissas!$B$9-H145-Premissas!$B$7,"")</f>
        <v>-3.408</v>
      </c>
      <c r="P145" s="18" t="n">
        <f aca="false">IFERROR(L145*(1-Premissas!$B$10)-Premissas!$B$11-H145-Premissas!$B$7,"")</f>
        <v>-1.87</v>
      </c>
      <c r="Q145" s="18" t="n">
        <f aca="false">IFERROR(M145*F145,"")</f>
        <v>3.38045</v>
      </c>
      <c r="R145" s="22" t="n">
        <f aca="false">IFERROR(IF(M145&gt;0,ROUNDUP(Premissas!$B$12/M145,0),"sem lucro"),"")</f>
        <v>296</v>
      </c>
      <c r="S145" s="15" t="s">
        <v>489</v>
      </c>
      <c r="T145" s="23" t="s">
        <v>76</v>
      </c>
      <c r="U145" s="15"/>
      <c r="V145" s="18" t="n">
        <f aca="false">IF(AND(T145="S",ISNUMBER(L145),ISNUMBER(F145)),L145*F145*X145,0)</f>
        <v>0</v>
      </c>
      <c r="W145" s="18" t="n">
        <f aca="false">IF(AND(T145="S",ISNUMBER(Q145)),Q145*X145,0)</f>
        <v>0</v>
      </c>
      <c r="X145" s="23" t="n">
        <v>12</v>
      </c>
      <c r="Y145" s="18" t="n">
        <f aca="false">IF(AND(T145="S",ISNUMBER(G145)),G145*X145,0)</f>
        <v>0</v>
      </c>
    </row>
    <row r="146" customFormat="false" ht="15" hidden="false" customHeight="false" outlineLevel="0" collapsed="false">
      <c r="A146" s="14" t="s">
        <v>490</v>
      </c>
      <c r="B146" s="15" t="s">
        <v>491</v>
      </c>
      <c r="C146" s="14" t="s">
        <v>440</v>
      </c>
      <c r="D146" s="14" t="s">
        <v>63</v>
      </c>
      <c r="E146" s="14" t="n">
        <v>11</v>
      </c>
      <c r="F146" s="16" t="n">
        <v>24</v>
      </c>
      <c r="G146" s="17" t="n">
        <v>145.8</v>
      </c>
      <c r="H146" s="18" t="n">
        <f aca="false">IF(ISNUMBER(G146),IFERROR(G146/F146,""),"")</f>
        <v>6.075</v>
      </c>
      <c r="I146" s="17" t="n">
        <v>19.9</v>
      </c>
      <c r="J146" s="17" t="n">
        <v>26.9</v>
      </c>
      <c r="K146" s="19" t="s">
        <v>64</v>
      </c>
      <c r="L146" s="20" t="n">
        <v>19.9</v>
      </c>
      <c r="M146" s="18" t="n">
        <f aca="false">IFERROR(L146*(1-Premissas!$B$5)*(1-Premissas!$B$6)-H146-Premissas!$B$7,"")</f>
        <v>11.64095</v>
      </c>
      <c r="N146" s="21" t="n">
        <f aca="false">IFERROR(M146/L146,"")</f>
        <v>0.584972361809045</v>
      </c>
      <c r="O146" s="18" t="n">
        <f aca="false">IFERROR(L146*(1-Premissas!$B$8)-Premissas!$B$9-H146-Premissas!$B$7,"")</f>
        <v>4.187</v>
      </c>
      <c r="P146" s="18" t="n">
        <f aca="false">IFERROR(L146*(1-Premissas!$B$10)-Premissas!$B$11-H146-Premissas!$B$7,"")</f>
        <v>4.845</v>
      </c>
      <c r="Q146" s="18" t="n">
        <f aca="false">IFERROR(M146*F146,"")</f>
        <v>279.3828</v>
      </c>
      <c r="R146" s="22" t="n">
        <f aca="false">IFERROR(IF(M146&gt;0,ROUNDUP(Premissas!$B$12/M146,0),"sem lucro"),"")</f>
        <v>86</v>
      </c>
      <c r="S146" s="15" t="s">
        <v>492</v>
      </c>
      <c r="T146" s="23" t="s">
        <v>66</v>
      </c>
      <c r="U146" s="15" t="s">
        <v>493</v>
      </c>
      <c r="V146" s="18" t="n">
        <f aca="false">IF(AND(T146="S",ISNUMBER(L146),ISNUMBER(F146)),L146*F146*X146,0)</f>
        <v>477.6</v>
      </c>
      <c r="W146" s="18" t="n">
        <f aca="false">IF(AND(T146="S",ISNUMBER(Q146)),Q146*X146,0)</f>
        <v>279.3828</v>
      </c>
      <c r="X146" s="23" t="n">
        <v>1</v>
      </c>
      <c r="Y146" s="18" t="n">
        <f aca="false">IF(AND(T146="S",ISNUMBER(G146)),G146*X146,0)</f>
        <v>145.8</v>
      </c>
    </row>
    <row r="147" customFormat="false" ht="15" hidden="false" customHeight="false" outlineLevel="0" collapsed="false">
      <c r="A147" s="14" t="s">
        <v>494</v>
      </c>
      <c r="B147" s="15" t="s">
        <v>495</v>
      </c>
      <c r="C147" s="14" t="s">
        <v>440</v>
      </c>
      <c r="D147" s="14" t="s">
        <v>63</v>
      </c>
      <c r="E147" s="14" t="n">
        <v>11</v>
      </c>
      <c r="F147" s="16" t="n">
        <v>24</v>
      </c>
      <c r="G147" s="17" t="n">
        <v>145.8</v>
      </c>
      <c r="H147" s="18" t="n">
        <f aca="false">IF(ISNUMBER(G147),IFERROR(G147/F147,""),"")</f>
        <v>6.075</v>
      </c>
      <c r="I147" s="17" t="n">
        <v>19.9</v>
      </c>
      <c r="J147" s="17" t="n">
        <v>26.9</v>
      </c>
      <c r="K147" s="19" t="s">
        <v>64</v>
      </c>
      <c r="L147" s="20" t="n">
        <v>19.9</v>
      </c>
      <c r="M147" s="18" t="n">
        <f aca="false">IFERROR(L147*(1-Premissas!$B$5)*(1-Premissas!$B$6)-H147-Premissas!$B$7,"")</f>
        <v>11.64095</v>
      </c>
      <c r="N147" s="21" t="n">
        <f aca="false">IFERROR(M147/L147,"")</f>
        <v>0.584972361809045</v>
      </c>
      <c r="O147" s="18" t="n">
        <f aca="false">IFERROR(L147*(1-Premissas!$B$8)-Premissas!$B$9-H147-Premissas!$B$7,"")</f>
        <v>4.187</v>
      </c>
      <c r="P147" s="18" t="n">
        <f aca="false">IFERROR(L147*(1-Premissas!$B$10)-Premissas!$B$11-H147-Premissas!$B$7,"")</f>
        <v>4.845</v>
      </c>
      <c r="Q147" s="18" t="n">
        <f aca="false">IFERROR(M147*F147,"")</f>
        <v>279.3828</v>
      </c>
      <c r="R147" s="22" t="n">
        <f aca="false">IFERROR(IF(M147&gt;0,ROUNDUP(Premissas!$B$12/M147,0),"sem lucro"),"")</f>
        <v>86</v>
      </c>
      <c r="S147" s="15" t="s">
        <v>492</v>
      </c>
      <c r="T147" s="23" t="s">
        <v>66</v>
      </c>
      <c r="U147" s="15" t="s">
        <v>496</v>
      </c>
      <c r="V147" s="18" t="n">
        <f aca="false">IF(AND(T147="S",ISNUMBER(L147),ISNUMBER(F147)),L147*F147*X147,0)</f>
        <v>477.6</v>
      </c>
      <c r="W147" s="18" t="n">
        <f aca="false">IF(AND(T147="S",ISNUMBER(Q147)),Q147*X147,0)</f>
        <v>279.3828</v>
      </c>
      <c r="X147" s="23" t="n">
        <v>1</v>
      </c>
      <c r="Y147" s="18" t="n">
        <f aca="false">IF(AND(T147="S",ISNUMBER(G147)),G147*X147,0)</f>
        <v>145.8</v>
      </c>
    </row>
    <row r="148" customFormat="false" ht="15" hidden="false" customHeight="false" outlineLevel="0" collapsed="false">
      <c r="A148" s="14" t="s">
        <v>497</v>
      </c>
      <c r="B148" s="15" t="s">
        <v>498</v>
      </c>
      <c r="C148" s="14" t="s">
        <v>440</v>
      </c>
      <c r="D148" s="14" t="s">
        <v>63</v>
      </c>
      <c r="E148" s="14" t="n">
        <v>11</v>
      </c>
      <c r="F148" s="16" t="n">
        <v>24</v>
      </c>
      <c r="G148" s="17" t="n">
        <v>145.8</v>
      </c>
      <c r="H148" s="18" t="n">
        <f aca="false">IF(ISNUMBER(G148),IFERROR(G148/F148,""),"")</f>
        <v>6.075</v>
      </c>
      <c r="I148" s="17" t="n">
        <v>23.7</v>
      </c>
      <c r="J148" s="17" t="n">
        <v>26.9</v>
      </c>
      <c r="K148" s="14" t="s">
        <v>93</v>
      </c>
      <c r="L148" s="20" t="n">
        <v>19.9</v>
      </c>
      <c r="M148" s="18" t="n">
        <f aca="false">IFERROR(L148*(1-Premissas!$B$5)*(1-Premissas!$B$6)-H148-Premissas!$B$7,"")</f>
        <v>11.64095</v>
      </c>
      <c r="N148" s="21" t="n">
        <f aca="false">IFERROR(M148/L148,"")</f>
        <v>0.584972361809045</v>
      </c>
      <c r="O148" s="18" t="n">
        <f aca="false">IFERROR(L148*(1-Premissas!$B$8)-Premissas!$B$9-H148-Premissas!$B$7,"")</f>
        <v>4.187</v>
      </c>
      <c r="P148" s="18" t="n">
        <f aca="false">IFERROR(L148*(1-Premissas!$B$10)-Premissas!$B$11-H148-Premissas!$B$7,"")</f>
        <v>4.845</v>
      </c>
      <c r="Q148" s="18" t="n">
        <f aca="false">IFERROR(M148*F148,"")</f>
        <v>279.3828</v>
      </c>
      <c r="R148" s="22" t="n">
        <f aca="false">IFERROR(IF(M148&gt;0,ROUNDUP(Premissas!$B$12/M148,0),"sem lucro"),"")</f>
        <v>86</v>
      </c>
      <c r="S148" s="15" t="s">
        <v>65</v>
      </c>
      <c r="T148" s="23" t="s">
        <v>66</v>
      </c>
      <c r="U148" s="15" t="s">
        <v>499</v>
      </c>
      <c r="V148" s="18" t="n">
        <f aca="false">IF(AND(T148="S",ISNUMBER(L148),ISNUMBER(F148)),L148*F148*X148,0)</f>
        <v>477.6</v>
      </c>
      <c r="W148" s="18" t="n">
        <f aca="false">IF(AND(T148="S",ISNUMBER(Q148)),Q148*X148,0)</f>
        <v>279.3828</v>
      </c>
      <c r="X148" s="23" t="n">
        <v>1</v>
      </c>
      <c r="Y148" s="18" t="n">
        <f aca="false">IF(AND(T148="S",ISNUMBER(G148)),G148*X148,0)</f>
        <v>145.8</v>
      </c>
    </row>
    <row r="149" customFormat="false" ht="15" hidden="false" customHeight="false" outlineLevel="0" collapsed="false">
      <c r="A149" s="14" t="s">
        <v>500</v>
      </c>
      <c r="B149" s="15" t="s">
        <v>501</v>
      </c>
      <c r="C149" s="14" t="s">
        <v>440</v>
      </c>
      <c r="D149" s="14" t="s">
        <v>117</v>
      </c>
      <c r="E149" s="14" t="n">
        <v>11</v>
      </c>
      <c r="F149" s="16" t="n">
        <v>24</v>
      </c>
      <c r="G149" s="17" t="n">
        <v>116.7</v>
      </c>
      <c r="H149" s="18" t="n">
        <f aca="false">IF(ISNUMBER(G149),IFERROR(G149/F149,""),"")</f>
        <v>4.8625</v>
      </c>
      <c r="I149" s="17" t="n">
        <v>12.9</v>
      </c>
      <c r="J149" s="17" t="n">
        <v>14.9</v>
      </c>
      <c r="K149" s="19" t="s">
        <v>64</v>
      </c>
      <c r="L149" s="20" t="n">
        <v>12.9</v>
      </c>
      <c r="M149" s="18" t="n">
        <f aca="false">IFERROR(L149*(1-Premissas!$B$5)*(1-Premissas!$B$6)-H149-Premissas!$B$7,"")</f>
        <v>6.26995</v>
      </c>
      <c r="N149" s="21" t="n">
        <f aca="false">IFERROR(M149/L149,"")</f>
        <v>0.486042635658915</v>
      </c>
      <c r="O149" s="18" t="n">
        <f aca="false">IFERROR(L149*(1-Premissas!$B$8)-Premissas!$B$9-H149-Premissas!$B$7,"")</f>
        <v>-0.7605</v>
      </c>
      <c r="P149" s="18" t="n">
        <f aca="false">IFERROR(L149*(1-Premissas!$B$10)-Premissas!$B$11-H149-Premissas!$B$7,"")</f>
        <v>0.4575</v>
      </c>
      <c r="Q149" s="18" t="n">
        <f aca="false">IFERROR(M149*F149,"")</f>
        <v>150.4788</v>
      </c>
      <c r="R149" s="22" t="n">
        <f aca="false">IFERROR(IF(M149&gt;0,ROUNDUP(Premissas!$B$12/M149,0),"sem lucro"),"")</f>
        <v>160</v>
      </c>
      <c r="S149" s="15" t="s">
        <v>82</v>
      </c>
      <c r="T149" s="23" t="s">
        <v>76</v>
      </c>
      <c r="U149" s="15"/>
      <c r="V149" s="18" t="n">
        <f aca="false">IF(AND(T149="S",ISNUMBER(L149),ISNUMBER(F149)),L149*F149*X149,0)</f>
        <v>0</v>
      </c>
      <c r="W149" s="18" t="n">
        <f aca="false">IF(AND(T149="S",ISNUMBER(Q149)),Q149*X149,0)</f>
        <v>0</v>
      </c>
      <c r="X149" s="23" t="n">
        <v>1</v>
      </c>
      <c r="Y149" s="18" t="n">
        <f aca="false">IF(AND(T149="S",ISNUMBER(G149)),G149*X149,0)</f>
        <v>0</v>
      </c>
    </row>
    <row r="150" customFormat="false" ht="15" hidden="false" customHeight="false" outlineLevel="0" collapsed="false">
      <c r="A150" s="14" t="s">
        <v>502</v>
      </c>
      <c r="B150" s="15" t="s">
        <v>503</v>
      </c>
      <c r="C150" s="14" t="s">
        <v>440</v>
      </c>
      <c r="D150" s="14" t="s">
        <v>117</v>
      </c>
      <c r="E150" s="14" t="n">
        <v>11</v>
      </c>
      <c r="F150" s="16" t="n">
        <v>24</v>
      </c>
      <c r="G150" s="17" t="n">
        <v>126.4</v>
      </c>
      <c r="H150" s="18" t="n">
        <f aca="false">IF(ISNUMBER(G150),IFERROR(G150/F150,""),"")</f>
        <v>5.26666666666667</v>
      </c>
      <c r="I150" s="17" t="n">
        <v>12.9</v>
      </c>
      <c r="J150" s="17" t="n">
        <v>14.9</v>
      </c>
      <c r="K150" s="19" t="s">
        <v>64</v>
      </c>
      <c r="L150" s="20" t="n">
        <v>12.9</v>
      </c>
      <c r="M150" s="18" t="n">
        <f aca="false">IFERROR(L150*(1-Premissas!$B$5)*(1-Premissas!$B$6)-H150-Premissas!$B$7,"")</f>
        <v>5.86578333333333</v>
      </c>
      <c r="N150" s="21" t="n">
        <f aca="false">IFERROR(M150/L150,"")</f>
        <v>0.454711886304909</v>
      </c>
      <c r="O150" s="18" t="n">
        <f aca="false">IFERROR(L150*(1-Premissas!$B$8)-Premissas!$B$9-H150-Premissas!$B$7,"")</f>
        <v>-1.16466666666667</v>
      </c>
      <c r="P150" s="18" t="n">
        <f aca="false">IFERROR(L150*(1-Premissas!$B$10)-Premissas!$B$11-H150-Premissas!$B$7,"")</f>
        <v>0.0533333333333337</v>
      </c>
      <c r="Q150" s="18" t="n">
        <f aca="false">IFERROR(M150*F150,"")</f>
        <v>140.7788</v>
      </c>
      <c r="R150" s="22" t="n">
        <f aca="false">IFERROR(IF(M150&gt;0,ROUNDUP(Premissas!$B$12/M150,0),"sem lucro"),"")</f>
        <v>171</v>
      </c>
      <c r="S150" s="15" t="s">
        <v>82</v>
      </c>
      <c r="T150" s="23" t="s">
        <v>76</v>
      </c>
      <c r="U150" s="15"/>
      <c r="V150" s="18" t="n">
        <f aca="false">IF(AND(T150="S",ISNUMBER(L150),ISNUMBER(F150)),L150*F150*X150,0)</f>
        <v>0</v>
      </c>
      <c r="W150" s="18" t="n">
        <f aca="false">IF(AND(T150="S",ISNUMBER(Q150)),Q150*X150,0)</f>
        <v>0</v>
      </c>
      <c r="X150" s="23" t="n">
        <v>1</v>
      </c>
      <c r="Y150" s="18" t="n">
        <f aca="false">IF(AND(T150="S",ISNUMBER(G150)),G150*X150,0)</f>
        <v>0</v>
      </c>
    </row>
    <row r="151" customFormat="false" ht="39.55" hidden="false" customHeight="false" outlineLevel="0" collapsed="false">
      <c r="A151" s="14" t="s">
        <v>504</v>
      </c>
      <c r="B151" s="15" t="s">
        <v>505</v>
      </c>
      <c r="C151" s="14" t="s">
        <v>440</v>
      </c>
      <c r="D151" s="14" t="s">
        <v>63</v>
      </c>
      <c r="E151" s="14" t="n">
        <v>11</v>
      </c>
      <c r="F151" s="16" t="n">
        <v>24</v>
      </c>
      <c r="G151" s="17" t="n">
        <v>129.6</v>
      </c>
      <c r="H151" s="18" t="n">
        <f aca="false">IF(ISNUMBER(G151),IFERROR(G151/F151,""),"")</f>
        <v>5.4</v>
      </c>
      <c r="I151" s="17" t="n">
        <v>16.9</v>
      </c>
      <c r="J151" s="17" t="n">
        <v>20</v>
      </c>
      <c r="K151" s="19" t="s">
        <v>64</v>
      </c>
      <c r="L151" s="20" t="n">
        <v>16.9</v>
      </c>
      <c r="M151" s="18" t="n">
        <f aca="false">IFERROR(L151*(1-Premissas!$B$5)*(1-Premissas!$B$6)-H151-Premissas!$B$7,"")</f>
        <v>9.49445</v>
      </c>
      <c r="N151" s="21" t="n">
        <f aca="false">IFERROR(M151/L151,"")</f>
        <v>0.561801775147929</v>
      </c>
      <c r="O151" s="18" t="n">
        <f aca="false">IFERROR(L151*(1-Premissas!$B$8)-Premissas!$B$9-H151-Premissas!$B$7,"")</f>
        <v>2.222</v>
      </c>
      <c r="P151" s="18" t="n">
        <f aca="false">IFERROR(L151*(1-Premissas!$B$10)-Premissas!$B$11-H151-Premissas!$B$7,"")</f>
        <v>3.12</v>
      </c>
      <c r="Q151" s="18" t="n">
        <f aca="false">IFERROR(M151*F151,"")</f>
        <v>227.8668</v>
      </c>
      <c r="R151" s="22" t="n">
        <f aca="false">IFERROR(IF(M151&gt;0,ROUNDUP(Premissas!$B$12/M151,0),"sem lucro"),"")</f>
        <v>106</v>
      </c>
      <c r="S151" s="15" t="s">
        <v>506</v>
      </c>
      <c r="T151" s="23" t="s">
        <v>76</v>
      </c>
      <c r="U151" s="15" t="s">
        <v>507</v>
      </c>
      <c r="V151" s="18" t="n">
        <f aca="false">IF(AND(T151="S",ISNUMBER(L151),ISNUMBER(F151)),L151*F151*X151,0)</f>
        <v>0</v>
      </c>
      <c r="W151" s="18" t="n">
        <f aca="false">IF(AND(T151="S",ISNUMBER(Q151)),Q151*X151,0)</f>
        <v>0</v>
      </c>
      <c r="X151" s="23" t="n">
        <v>1</v>
      </c>
      <c r="Y151" s="18" t="n">
        <f aca="false">IF(AND(T151="S",ISNUMBER(G151)),G151*X151,0)</f>
        <v>0</v>
      </c>
    </row>
    <row r="152" customFormat="false" ht="15" hidden="false" customHeight="false" outlineLevel="0" collapsed="false">
      <c r="A152" s="14" t="s">
        <v>508</v>
      </c>
      <c r="B152" s="15" t="s">
        <v>509</v>
      </c>
      <c r="C152" s="14" t="s">
        <v>510</v>
      </c>
      <c r="D152" s="14" t="s">
        <v>117</v>
      </c>
      <c r="E152" s="14" t="n">
        <v>11</v>
      </c>
      <c r="F152" s="16" t="n">
        <v>24</v>
      </c>
      <c r="G152" s="17" t="n">
        <v>165.3</v>
      </c>
      <c r="H152" s="18" t="n">
        <f aca="false">IF(ISNUMBER(G152),IFERROR(G152/F152,""),"")</f>
        <v>6.8875</v>
      </c>
      <c r="I152" s="17" t="n">
        <v>12.9</v>
      </c>
      <c r="J152" s="17" t="n">
        <v>12.9</v>
      </c>
      <c r="K152" s="19" t="s">
        <v>64</v>
      </c>
      <c r="L152" s="20" t="n">
        <v>12.9</v>
      </c>
      <c r="M152" s="18" t="n">
        <f aca="false">IFERROR(L152*(1-Premissas!$B$5)*(1-Premissas!$B$6)-H152-Premissas!$B$7,"")</f>
        <v>4.24495</v>
      </c>
      <c r="N152" s="21" t="n">
        <f aca="false">IFERROR(M152/L152,"")</f>
        <v>0.329065891472868</v>
      </c>
      <c r="O152" s="18" t="n">
        <f aca="false">IFERROR(L152*(1-Premissas!$B$8)-Premissas!$B$9-H152-Premissas!$B$7,"")</f>
        <v>-2.7855</v>
      </c>
      <c r="P152" s="18" t="n">
        <f aca="false">IFERROR(L152*(1-Premissas!$B$10)-Premissas!$B$11-H152-Premissas!$B$7,"")</f>
        <v>-1.5675</v>
      </c>
      <c r="Q152" s="18" t="n">
        <f aca="false">IFERROR(M152*F152,"")</f>
        <v>101.8788</v>
      </c>
      <c r="R152" s="22" t="n">
        <f aca="false">IFERROR(IF(M152&gt;0,ROUNDUP(Premissas!$B$12/M152,0),"sem lucro"),"")</f>
        <v>236</v>
      </c>
      <c r="S152" s="15" t="s">
        <v>252</v>
      </c>
      <c r="T152" s="23" t="s">
        <v>76</v>
      </c>
      <c r="U152" s="15"/>
      <c r="V152" s="18" t="n">
        <f aca="false">IF(AND(T152="S",ISNUMBER(L152),ISNUMBER(F152)),L152*F152*X152,0)</f>
        <v>0</v>
      </c>
      <c r="W152" s="18" t="n">
        <f aca="false">IF(AND(T152="S",ISNUMBER(Q152)),Q152*X152,0)</f>
        <v>0</v>
      </c>
      <c r="X152" s="23" t="n">
        <v>1</v>
      </c>
      <c r="Y152" s="18" t="n">
        <f aca="false">IF(AND(T152="S",ISNUMBER(G152)),G152*X152,0)</f>
        <v>0</v>
      </c>
    </row>
    <row r="153" customFormat="false" ht="15" hidden="false" customHeight="false" outlineLevel="0" collapsed="false">
      <c r="A153" s="14" t="s">
        <v>511</v>
      </c>
      <c r="B153" s="15" t="s">
        <v>512</v>
      </c>
      <c r="C153" s="14" t="s">
        <v>510</v>
      </c>
      <c r="D153" s="14" t="s">
        <v>117</v>
      </c>
      <c r="E153" s="14" t="n">
        <v>12</v>
      </c>
      <c r="F153" s="16" t="n">
        <v>24</v>
      </c>
      <c r="G153" s="17" t="n">
        <v>135.99</v>
      </c>
      <c r="H153" s="18" t="n">
        <f aca="false">IF(ISNUMBER(G153),IFERROR(G153/F153,""),"")</f>
        <v>5.66625</v>
      </c>
      <c r="I153" s="17" t="n">
        <v>12.9</v>
      </c>
      <c r="J153" s="17" t="n">
        <v>12.9</v>
      </c>
      <c r="K153" s="19" t="s">
        <v>64</v>
      </c>
      <c r="L153" s="20" t="n">
        <v>12.9</v>
      </c>
      <c r="M153" s="18" t="n">
        <f aca="false">IFERROR(L153*(1-Premissas!$B$5)*(1-Premissas!$B$6)-H153-Premissas!$B$7,"")</f>
        <v>5.4662</v>
      </c>
      <c r="N153" s="21" t="n">
        <f aca="false">IFERROR(M153/L153,"")</f>
        <v>0.423736434108527</v>
      </c>
      <c r="O153" s="18" t="n">
        <f aca="false">IFERROR(L153*(1-Premissas!$B$8)-Premissas!$B$9-H153-Premissas!$B$7,"")</f>
        <v>-1.56425</v>
      </c>
      <c r="P153" s="18" t="n">
        <f aca="false">IFERROR(L153*(1-Premissas!$B$10)-Premissas!$B$11-H153-Premissas!$B$7,"")</f>
        <v>-0.34625</v>
      </c>
      <c r="Q153" s="18" t="n">
        <f aca="false">IFERROR(M153*F153,"")</f>
        <v>131.1888</v>
      </c>
      <c r="R153" s="22" t="n">
        <f aca="false">IFERROR(IF(M153&gt;0,ROUNDUP(Premissas!$B$12/M153,0),"sem lucro"),"")</f>
        <v>183</v>
      </c>
      <c r="S153" s="15" t="s">
        <v>252</v>
      </c>
      <c r="T153" s="23" t="s">
        <v>76</v>
      </c>
      <c r="U153" s="15"/>
      <c r="V153" s="18" t="n">
        <f aca="false">IF(AND(T153="S",ISNUMBER(L153),ISNUMBER(F153)),L153*F153*X153,0)</f>
        <v>0</v>
      </c>
      <c r="W153" s="18" t="n">
        <f aca="false">IF(AND(T153="S",ISNUMBER(Q153)),Q153*X153,0)</f>
        <v>0</v>
      </c>
      <c r="X153" s="23" t="n">
        <v>1</v>
      </c>
      <c r="Y153" s="18" t="n">
        <f aca="false">IF(AND(T153="S",ISNUMBER(G153)),G153*X153,0)</f>
        <v>0</v>
      </c>
    </row>
    <row r="154" customFormat="false" ht="15" hidden="false" customHeight="false" outlineLevel="0" collapsed="false">
      <c r="A154" s="14" t="s">
        <v>513</v>
      </c>
      <c r="B154" s="15" t="s">
        <v>514</v>
      </c>
      <c r="C154" s="14" t="s">
        <v>440</v>
      </c>
      <c r="D154" s="14" t="s">
        <v>125</v>
      </c>
      <c r="E154" s="14" t="n">
        <v>12</v>
      </c>
      <c r="F154" s="16" t="n">
        <v>24</v>
      </c>
      <c r="G154" s="17" t="n">
        <v>116.7</v>
      </c>
      <c r="H154" s="18" t="n">
        <f aca="false">IF(ISNUMBER(G154),IFERROR(G154/F154,""),"")</f>
        <v>4.8625</v>
      </c>
      <c r="I154" s="17" t="n">
        <v>12.9</v>
      </c>
      <c r="J154" s="17" t="n">
        <v>12.9</v>
      </c>
      <c r="K154" s="19" t="s">
        <v>64</v>
      </c>
      <c r="L154" s="20" t="n">
        <v>12.9</v>
      </c>
      <c r="M154" s="18" t="n">
        <f aca="false">IFERROR(L154*(1-Premissas!$B$5)*(1-Premissas!$B$6)-H154-Premissas!$B$7,"")</f>
        <v>6.26995</v>
      </c>
      <c r="N154" s="21" t="n">
        <f aca="false">IFERROR(M154/L154,"")</f>
        <v>0.486042635658915</v>
      </c>
      <c r="O154" s="18" t="n">
        <f aca="false">IFERROR(L154*(1-Premissas!$B$8)-Premissas!$B$9-H154-Premissas!$B$7,"")</f>
        <v>-0.7605</v>
      </c>
      <c r="P154" s="18" t="n">
        <f aca="false">IFERROR(L154*(1-Premissas!$B$10)-Premissas!$B$11-H154-Premissas!$B$7,"")</f>
        <v>0.4575</v>
      </c>
      <c r="Q154" s="18" t="n">
        <f aca="false">IFERROR(M154*F154,"")</f>
        <v>150.4788</v>
      </c>
      <c r="R154" s="22" t="n">
        <f aca="false">IFERROR(IF(M154&gt;0,ROUNDUP(Premissas!$B$12/M154,0),"sem lucro"),"")</f>
        <v>160</v>
      </c>
      <c r="S154" s="15" t="s">
        <v>82</v>
      </c>
      <c r="T154" s="23" t="s">
        <v>76</v>
      </c>
      <c r="U154" s="15" t="s">
        <v>515</v>
      </c>
      <c r="V154" s="18" t="n">
        <f aca="false">IF(AND(T154="S",ISNUMBER(L154),ISNUMBER(F154)),L154*F154*X154,0)</f>
        <v>0</v>
      </c>
      <c r="W154" s="18" t="n">
        <f aca="false">IF(AND(T154="S",ISNUMBER(Q154)),Q154*X154,0)</f>
        <v>0</v>
      </c>
      <c r="X154" s="23" t="n">
        <v>1</v>
      </c>
      <c r="Y154" s="18" t="n">
        <f aca="false">IF(AND(T154="S",ISNUMBER(G154)),G154*X154,0)</f>
        <v>0</v>
      </c>
    </row>
    <row r="155" customFormat="false" ht="26.85" hidden="false" customHeight="false" outlineLevel="0" collapsed="false">
      <c r="A155" s="14" t="s">
        <v>516</v>
      </c>
      <c r="B155" s="15" t="s">
        <v>517</v>
      </c>
      <c r="C155" s="14" t="s">
        <v>217</v>
      </c>
      <c r="D155" s="14" t="s">
        <v>117</v>
      </c>
      <c r="E155" s="14" t="n">
        <v>12</v>
      </c>
      <c r="F155" s="16" t="n">
        <v>1</v>
      </c>
      <c r="G155" s="17" t="n">
        <v>6.8</v>
      </c>
      <c r="H155" s="18" t="n">
        <f aca="false">IF(ISNUMBER(G155),IFERROR(G155/F155,""),"")</f>
        <v>6.8</v>
      </c>
      <c r="I155" s="17" t="n">
        <v>6.89</v>
      </c>
      <c r="J155" s="17" t="n">
        <v>6.89</v>
      </c>
      <c r="K155" s="14" t="s">
        <v>93</v>
      </c>
      <c r="L155" s="20" t="n">
        <v>11.9</v>
      </c>
      <c r="M155" s="18" t="n">
        <f aca="false">IFERROR(L155*(1-Premissas!$B$5)*(1-Premissas!$B$6)-H155-Premissas!$B$7,"")</f>
        <v>3.39195</v>
      </c>
      <c r="N155" s="21" t="n">
        <f aca="false">IFERROR(M155/L155,"")</f>
        <v>0.285037815126051</v>
      </c>
      <c r="O155" s="18" t="n">
        <f aca="false">IFERROR(L155*(1-Premissas!$B$8)-Premissas!$B$9-H155-Premissas!$B$7,"")</f>
        <v>-3.578</v>
      </c>
      <c r="P155" s="18" t="n">
        <f aca="false">IFERROR(L155*(1-Premissas!$B$10)-Premissas!$B$11-H155-Premissas!$B$7,"")</f>
        <v>-2.28</v>
      </c>
      <c r="Q155" s="18" t="n">
        <f aca="false">IFERROR(M155*F155,"")</f>
        <v>3.39195</v>
      </c>
      <c r="R155" s="22" t="n">
        <f aca="false">IFERROR(IF(M155&gt;0,ROUNDUP(Premissas!$B$12/M155,0),"sem lucro"),"")</f>
        <v>295</v>
      </c>
      <c r="S155" s="15" t="s">
        <v>518</v>
      </c>
      <c r="T155" s="23" t="s">
        <v>76</v>
      </c>
      <c r="U155" s="15" t="s">
        <v>519</v>
      </c>
      <c r="V155" s="18" t="n">
        <f aca="false">IF(AND(T155="S",ISNUMBER(L155),ISNUMBER(F155)),L155*F155*X155,0)</f>
        <v>0</v>
      </c>
      <c r="W155" s="18" t="n">
        <f aca="false">IF(AND(T155="S",ISNUMBER(Q155)),Q155*X155,0)</f>
        <v>0</v>
      </c>
      <c r="X155" s="23" t="n">
        <v>12</v>
      </c>
      <c r="Y155" s="18" t="n">
        <f aca="false">IF(AND(T155="S",ISNUMBER(G155)),G155*X155,0)</f>
        <v>0</v>
      </c>
    </row>
    <row r="156" customFormat="false" ht="15" hidden="false" customHeight="false" outlineLevel="0" collapsed="false">
      <c r="A156" s="14" t="s">
        <v>520</v>
      </c>
      <c r="B156" s="15" t="s">
        <v>521</v>
      </c>
      <c r="C156" s="14" t="s">
        <v>217</v>
      </c>
      <c r="D156" s="14" t="s">
        <v>117</v>
      </c>
      <c r="E156" s="14" t="n">
        <v>13</v>
      </c>
      <c r="F156" s="16" t="n">
        <v>1</v>
      </c>
      <c r="G156" s="17" t="n">
        <v>6.99</v>
      </c>
      <c r="H156" s="18" t="n">
        <f aca="false">IF(ISNUMBER(G156),IFERROR(G156/F156,""),"")</f>
        <v>6.99</v>
      </c>
      <c r="I156" s="17" t="n">
        <v>6.89</v>
      </c>
      <c r="J156" s="17" t="n">
        <v>12.9</v>
      </c>
      <c r="K156" s="19" t="s">
        <v>64</v>
      </c>
      <c r="L156" s="20" t="n">
        <v>11.9</v>
      </c>
      <c r="M156" s="18" t="n">
        <f aca="false">IFERROR(L156*(1-Premissas!$B$5)*(1-Premissas!$B$6)-H156-Premissas!$B$7,"")</f>
        <v>3.20195</v>
      </c>
      <c r="N156" s="21" t="n">
        <f aca="false">IFERROR(M156/L156,"")</f>
        <v>0.269071428571429</v>
      </c>
      <c r="O156" s="18" t="n">
        <f aca="false">IFERROR(L156*(1-Premissas!$B$8)-Premissas!$B$9-H156-Premissas!$B$7,"")</f>
        <v>-3.768</v>
      </c>
      <c r="P156" s="18" t="n">
        <f aca="false">IFERROR(L156*(1-Premissas!$B$10)-Premissas!$B$11-H156-Premissas!$B$7,"")</f>
        <v>-2.47</v>
      </c>
      <c r="Q156" s="18" t="n">
        <f aca="false">IFERROR(M156*F156,"")</f>
        <v>3.20195</v>
      </c>
      <c r="R156" s="22" t="n">
        <f aca="false">IFERROR(IF(M156&gt;0,ROUNDUP(Premissas!$B$12/M156,0),"sem lucro"),"")</f>
        <v>313</v>
      </c>
      <c r="S156" s="15" t="s">
        <v>252</v>
      </c>
      <c r="T156" s="23" t="s">
        <v>76</v>
      </c>
      <c r="U156" s="15" t="s">
        <v>522</v>
      </c>
      <c r="V156" s="18" t="n">
        <f aca="false">IF(AND(T156="S",ISNUMBER(L156),ISNUMBER(F156)),L156*F156*X156,0)</f>
        <v>0</v>
      </c>
      <c r="W156" s="18" t="n">
        <f aca="false">IF(AND(T156="S",ISNUMBER(Q156)),Q156*X156,0)</f>
        <v>0</v>
      </c>
      <c r="X156" s="23" t="n">
        <v>12</v>
      </c>
      <c r="Y156" s="18" t="n">
        <f aca="false">IF(AND(T156="S",ISNUMBER(G156)),G156*X156,0)</f>
        <v>0</v>
      </c>
    </row>
    <row r="157" customFormat="false" ht="15" hidden="false" customHeight="false" outlineLevel="0" collapsed="false">
      <c r="A157" s="14" t="s">
        <v>523</v>
      </c>
      <c r="B157" s="15" t="s">
        <v>524</v>
      </c>
      <c r="C157" s="14" t="s">
        <v>429</v>
      </c>
      <c r="D157" s="14" t="s">
        <v>117</v>
      </c>
      <c r="E157" s="14" t="n">
        <v>13</v>
      </c>
      <c r="F157" s="16" t="n">
        <v>24</v>
      </c>
      <c r="G157" s="17" t="n">
        <v>115.9</v>
      </c>
      <c r="H157" s="18" t="n">
        <f aca="false">IF(ISNUMBER(G157),IFERROR(G157/F157,""),"")</f>
        <v>4.82916666666667</v>
      </c>
      <c r="I157" s="17" t="n">
        <v>10</v>
      </c>
      <c r="J157" s="17" t="n">
        <v>12.9</v>
      </c>
      <c r="K157" s="19" t="s">
        <v>64</v>
      </c>
      <c r="L157" s="20" t="n">
        <v>11.9</v>
      </c>
      <c r="M157" s="18" t="n">
        <f aca="false">IFERROR(L157*(1-Premissas!$B$5)*(1-Premissas!$B$6)-H157-Premissas!$B$7,"")</f>
        <v>5.36278333333333</v>
      </c>
      <c r="N157" s="21" t="n">
        <f aca="false">IFERROR(M157/L157,"")</f>
        <v>0.45065406162465</v>
      </c>
      <c r="O157" s="18" t="n">
        <f aca="false">IFERROR(L157*(1-Premissas!$B$8)-Premissas!$B$9-H157-Premissas!$B$7,"")</f>
        <v>-1.60716666666667</v>
      </c>
      <c r="P157" s="18" t="n">
        <f aca="false">IFERROR(L157*(1-Premissas!$B$10)-Premissas!$B$11-H157-Premissas!$B$7,"")</f>
        <v>-0.309166666666665</v>
      </c>
      <c r="Q157" s="18" t="n">
        <f aca="false">IFERROR(M157*F157,"")</f>
        <v>128.7068</v>
      </c>
      <c r="R157" s="22" t="n">
        <f aca="false">IFERROR(IF(M157&gt;0,ROUNDUP(Premissas!$B$12/M157,0),"sem lucro"),"")</f>
        <v>187</v>
      </c>
      <c r="S157" s="15" t="s">
        <v>252</v>
      </c>
      <c r="T157" s="23" t="s">
        <v>76</v>
      </c>
      <c r="U157" s="15"/>
      <c r="V157" s="18" t="n">
        <f aca="false">IF(AND(T157="S",ISNUMBER(L157),ISNUMBER(F157)),L157*F157*X157,0)</f>
        <v>0</v>
      </c>
      <c r="W157" s="18" t="n">
        <f aca="false">IF(AND(T157="S",ISNUMBER(Q157)),Q157*X157,0)</f>
        <v>0</v>
      </c>
      <c r="X157" s="23" t="n">
        <v>1</v>
      </c>
      <c r="Y157" s="18" t="n">
        <f aca="false">IF(AND(T157="S",ISNUMBER(G157)),G157*X157,0)</f>
        <v>0</v>
      </c>
    </row>
    <row r="158" customFormat="false" ht="15" hidden="false" customHeight="false" outlineLevel="0" collapsed="false">
      <c r="A158" s="14" t="s">
        <v>525</v>
      </c>
      <c r="B158" s="15" t="s">
        <v>526</v>
      </c>
      <c r="C158" s="14" t="s">
        <v>429</v>
      </c>
      <c r="D158" s="14" t="s">
        <v>117</v>
      </c>
      <c r="E158" s="14" t="n">
        <v>13</v>
      </c>
      <c r="F158" s="16" t="n">
        <v>24</v>
      </c>
      <c r="G158" s="17" t="n">
        <v>115.7</v>
      </c>
      <c r="H158" s="18" t="n">
        <f aca="false">IF(ISNUMBER(G158),IFERROR(G158/F158,""),"")</f>
        <v>4.82083333333333</v>
      </c>
      <c r="I158" s="17" t="n">
        <v>10</v>
      </c>
      <c r="J158" s="17" t="n">
        <v>12.9</v>
      </c>
      <c r="K158" s="19" t="s">
        <v>64</v>
      </c>
      <c r="L158" s="20" t="n">
        <v>11.9</v>
      </c>
      <c r="M158" s="18" t="n">
        <f aca="false">IFERROR(L158*(1-Premissas!$B$5)*(1-Premissas!$B$6)-H158-Premissas!$B$7,"")</f>
        <v>5.37111666666667</v>
      </c>
      <c r="N158" s="21" t="n">
        <f aca="false">IFERROR(M158/L158,"")</f>
        <v>0.451354341736695</v>
      </c>
      <c r="O158" s="18" t="n">
        <f aca="false">IFERROR(L158*(1-Premissas!$B$8)-Premissas!$B$9-H158-Premissas!$B$7,"")</f>
        <v>-1.59883333333333</v>
      </c>
      <c r="P158" s="18" t="n">
        <f aca="false">IFERROR(L158*(1-Premissas!$B$10)-Premissas!$B$11-H158-Premissas!$B$7,"")</f>
        <v>-0.300833333333332</v>
      </c>
      <c r="Q158" s="18" t="n">
        <f aca="false">IFERROR(M158*F158,"")</f>
        <v>128.9068</v>
      </c>
      <c r="R158" s="22" t="n">
        <f aca="false">IFERROR(IF(M158&gt;0,ROUNDUP(Premissas!$B$12/M158,0),"sem lucro"),"")</f>
        <v>187</v>
      </c>
      <c r="S158" s="15" t="s">
        <v>252</v>
      </c>
      <c r="T158" s="23" t="s">
        <v>76</v>
      </c>
      <c r="U158" s="15"/>
      <c r="V158" s="18" t="n">
        <f aca="false">IF(AND(T158="S",ISNUMBER(L158),ISNUMBER(F158)),L158*F158*X158,0)</f>
        <v>0</v>
      </c>
      <c r="W158" s="18" t="n">
        <f aca="false">IF(AND(T158="S",ISNUMBER(Q158)),Q158*X158,0)</f>
        <v>0</v>
      </c>
      <c r="X158" s="23" t="n">
        <v>1</v>
      </c>
      <c r="Y158" s="18" t="n">
        <f aca="false">IF(AND(T158="S",ISNUMBER(G158)),G158*X158,0)</f>
        <v>0</v>
      </c>
    </row>
    <row r="159" customFormat="false" ht="26.85" hidden="false" customHeight="false" outlineLevel="0" collapsed="false">
      <c r="A159" s="14" t="s">
        <v>527</v>
      </c>
      <c r="B159" s="15" t="s">
        <v>528</v>
      </c>
      <c r="C159" s="14" t="s">
        <v>529</v>
      </c>
      <c r="D159" s="14" t="s">
        <v>224</v>
      </c>
      <c r="E159" s="14" t="n">
        <v>13</v>
      </c>
      <c r="F159" s="16" t="n">
        <v>12</v>
      </c>
      <c r="G159" s="17" t="n">
        <v>77.2</v>
      </c>
      <c r="H159" s="18" t="n">
        <f aca="false">IF(ISNUMBER(G159),IFERROR(G159/F159,""),"")</f>
        <v>6.43333333333333</v>
      </c>
      <c r="I159" s="17" t="n">
        <v>9.5</v>
      </c>
      <c r="J159" s="17" t="n">
        <v>13.14</v>
      </c>
      <c r="K159" s="14" t="s">
        <v>93</v>
      </c>
      <c r="L159" s="20" t="n">
        <v>11.9</v>
      </c>
      <c r="M159" s="18" t="n">
        <f aca="false">IFERROR(L159*(1-Premissas!$B$5)*(1-Premissas!$B$6)-H159-Premissas!$B$7,"")</f>
        <v>3.75861666666667</v>
      </c>
      <c r="N159" s="21" t="n">
        <f aca="false">IFERROR(M159/L159,"")</f>
        <v>0.315850140056022</v>
      </c>
      <c r="O159" s="18" t="n">
        <f aca="false">IFERROR(L159*(1-Premissas!$B$8)-Premissas!$B$9-H159-Premissas!$B$7,"")</f>
        <v>-3.21133333333333</v>
      </c>
      <c r="P159" s="18" t="n">
        <f aca="false">IFERROR(L159*(1-Premissas!$B$10)-Premissas!$B$11-H159-Premissas!$B$7,"")</f>
        <v>-1.91333333333333</v>
      </c>
      <c r="Q159" s="18" t="n">
        <f aca="false">IFERROR(M159*F159,"")</f>
        <v>45.1034</v>
      </c>
      <c r="R159" s="22" t="n">
        <f aca="false">IFERROR(IF(M159&gt;0,ROUNDUP(Premissas!$B$12/M159,0),"sem lucro"),"")</f>
        <v>267</v>
      </c>
      <c r="S159" s="15" t="s">
        <v>260</v>
      </c>
      <c r="T159" s="23" t="s">
        <v>76</v>
      </c>
      <c r="U159" s="15" t="s">
        <v>530</v>
      </c>
      <c r="V159" s="18" t="n">
        <f aca="false">IF(AND(T159="S",ISNUMBER(L159),ISNUMBER(F159)),L159*F159*X159,0)</f>
        <v>0</v>
      </c>
      <c r="W159" s="18" t="n">
        <f aca="false">IF(AND(T159="S",ISNUMBER(Q159)),Q159*X159,0)</f>
        <v>0</v>
      </c>
      <c r="X159" s="23" t="n">
        <v>1</v>
      </c>
      <c r="Y159" s="18" t="n">
        <f aca="false">IF(AND(T159="S",ISNUMBER(G159)),G159*X159,0)</f>
        <v>0</v>
      </c>
    </row>
    <row r="160" customFormat="false" ht="15" hidden="false" customHeight="false" outlineLevel="0" collapsed="false">
      <c r="A160" s="14" t="s">
        <v>531</v>
      </c>
      <c r="B160" s="15" t="s">
        <v>532</v>
      </c>
      <c r="C160" s="14" t="s">
        <v>129</v>
      </c>
      <c r="D160" s="14" t="s">
        <v>108</v>
      </c>
      <c r="E160" s="14" t="n">
        <v>13</v>
      </c>
      <c r="F160" s="16" t="n">
        <v>1</v>
      </c>
      <c r="G160" s="17" t="n">
        <v>3.99</v>
      </c>
      <c r="H160" s="18" t="n">
        <f aca="false">IF(ISNUMBER(G160),IFERROR(G160/F160,""),"")</f>
        <v>3.99</v>
      </c>
      <c r="I160" s="17" t="n">
        <v>4.05</v>
      </c>
      <c r="J160" s="17" t="n">
        <v>5.99</v>
      </c>
      <c r="K160" s="14" t="s">
        <v>93</v>
      </c>
      <c r="L160" s="20" t="n">
        <v>7.9</v>
      </c>
      <c r="M160" s="18" t="n">
        <f aca="false">IFERROR(L160*(1-Premissas!$B$5)*(1-Premissas!$B$6)-H160-Premissas!$B$7,"")</f>
        <v>2.43995</v>
      </c>
      <c r="N160" s="21" t="n">
        <f aca="false">IFERROR(M160/L160,"")</f>
        <v>0.308854430379747</v>
      </c>
      <c r="O160" s="18" t="n">
        <f aca="false">IFERROR(L160*(1-Premissas!$B$8)-Premissas!$B$9-H160-Premissas!$B$7,"")</f>
        <v>-4.288</v>
      </c>
      <c r="P160" s="18" t="n">
        <f aca="false">IFERROR(L160*(1-Premissas!$B$10)-Premissas!$B$11-H160-Premissas!$B$7,"")</f>
        <v>-2.67</v>
      </c>
      <c r="Q160" s="18" t="n">
        <f aca="false">IFERROR(M160*F160,"")</f>
        <v>2.43995</v>
      </c>
      <c r="R160" s="22" t="n">
        <f aca="false">IFERROR(IF(M160&gt;0,ROUNDUP(Premissas!$B$12/M160,0),"sem lucro"),"")</f>
        <v>410</v>
      </c>
      <c r="S160" s="15" t="s">
        <v>260</v>
      </c>
      <c r="T160" s="23" t="s">
        <v>76</v>
      </c>
      <c r="U160" s="15" t="s">
        <v>533</v>
      </c>
      <c r="V160" s="18" t="n">
        <f aca="false">IF(AND(T160="S",ISNUMBER(L160),ISNUMBER(F160)),L160*F160*X160,0)</f>
        <v>0</v>
      </c>
      <c r="W160" s="18" t="n">
        <f aca="false">IF(AND(T160="S",ISNUMBER(Q160)),Q160*X160,0)</f>
        <v>0</v>
      </c>
      <c r="X160" s="23" t="n">
        <v>12</v>
      </c>
      <c r="Y160" s="18" t="n">
        <f aca="false">IF(AND(T160="S",ISNUMBER(G160)),G160*X160,0)</f>
        <v>0</v>
      </c>
    </row>
    <row r="161" customFormat="false" ht="15" hidden="false" customHeight="false" outlineLevel="0" collapsed="false">
      <c r="A161" s="14" t="s">
        <v>534</v>
      </c>
      <c r="B161" s="15" t="s">
        <v>535</v>
      </c>
      <c r="C161" s="14" t="s">
        <v>316</v>
      </c>
      <c r="D161" s="14" t="s">
        <v>125</v>
      </c>
      <c r="E161" s="14" t="n">
        <v>13</v>
      </c>
      <c r="F161" s="16" t="n">
        <v>24</v>
      </c>
      <c r="G161" s="17" t="n">
        <v>131.3</v>
      </c>
      <c r="H161" s="18" t="n">
        <f aca="false">IF(ISNUMBER(G161),IFERROR(G161/F161,""),"")</f>
        <v>5.47083333333333</v>
      </c>
      <c r="I161" s="17" t="n">
        <v>12.9</v>
      </c>
      <c r="J161" s="17" t="n">
        <v>12.9</v>
      </c>
      <c r="K161" s="19" t="s">
        <v>64</v>
      </c>
      <c r="L161" s="20" t="n">
        <v>12.9</v>
      </c>
      <c r="M161" s="18" t="n">
        <f aca="false">IFERROR(L161*(1-Premissas!$B$5)*(1-Premissas!$B$6)-H161-Premissas!$B$7,"")</f>
        <v>5.66161666666666</v>
      </c>
      <c r="N161" s="21" t="n">
        <f aca="false">IFERROR(M161/L161,"")</f>
        <v>0.438885012919896</v>
      </c>
      <c r="O161" s="18" t="n">
        <f aca="false">IFERROR(L161*(1-Premissas!$B$8)-Premissas!$B$9-H161-Premissas!$B$7,"")</f>
        <v>-1.36883333333333</v>
      </c>
      <c r="P161" s="18" t="n">
        <f aca="false">IFERROR(L161*(1-Premissas!$B$10)-Premissas!$B$11-H161-Premissas!$B$7,"")</f>
        <v>-0.150833333333334</v>
      </c>
      <c r="Q161" s="18" t="n">
        <f aca="false">IFERROR(M161*F161,"")</f>
        <v>135.8788</v>
      </c>
      <c r="R161" s="22" t="n">
        <f aca="false">IFERROR(IF(M161&gt;0,ROUNDUP(Premissas!$B$12/M161,0),"sem lucro"),"")</f>
        <v>177</v>
      </c>
      <c r="S161" s="15" t="s">
        <v>82</v>
      </c>
      <c r="T161" s="23" t="s">
        <v>76</v>
      </c>
      <c r="U161" s="15"/>
      <c r="V161" s="18" t="n">
        <f aca="false">IF(AND(T161="S",ISNUMBER(L161),ISNUMBER(F161)),L161*F161*X161,0)</f>
        <v>0</v>
      </c>
      <c r="W161" s="18" t="n">
        <f aca="false">IF(AND(T161="S",ISNUMBER(Q161)),Q161*X161,0)</f>
        <v>0</v>
      </c>
      <c r="X161" s="23" t="n">
        <v>1</v>
      </c>
      <c r="Y161" s="18" t="n">
        <f aca="false">IF(AND(T161="S",ISNUMBER(G161)),G161*X161,0)</f>
        <v>0</v>
      </c>
    </row>
    <row r="162" customFormat="false" ht="15" hidden="false" customHeight="false" outlineLevel="0" collapsed="false">
      <c r="A162" s="14" t="s">
        <v>536</v>
      </c>
      <c r="B162" s="15" t="s">
        <v>537</v>
      </c>
      <c r="C162" s="14" t="s">
        <v>156</v>
      </c>
      <c r="D162" s="14" t="s">
        <v>63</v>
      </c>
      <c r="E162" s="14" t="n">
        <v>13</v>
      </c>
      <c r="F162" s="16" t="n">
        <v>24</v>
      </c>
      <c r="G162" s="17" t="n">
        <v>139.99</v>
      </c>
      <c r="H162" s="18" t="n">
        <f aca="false">IF(ISNUMBER(G162),IFERROR(G162/F162,""),"")</f>
        <v>5.83291666666667</v>
      </c>
      <c r="I162" s="17" t="n">
        <v>12.9</v>
      </c>
      <c r="J162" s="17" t="n">
        <v>12.9</v>
      </c>
      <c r="K162" s="19" t="s">
        <v>64</v>
      </c>
      <c r="L162" s="20" t="n">
        <v>12.9</v>
      </c>
      <c r="M162" s="18" t="n">
        <f aca="false">IFERROR(L162*(1-Premissas!$B$5)*(1-Premissas!$B$6)-H162-Premissas!$B$7,"")</f>
        <v>5.29953333333333</v>
      </c>
      <c r="N162" s="21" t="n">
        <f aca="false">IFERROR(M162/L162,"")</f>
        <v>0.4108165374677</v>
      </c>
      <c r="O162" s="18" t="n">
        <f aca="false">IFERROR(L162*(1-Premissas!$B$8)-Premissas!$B$9-H162-Premissas!$B$7,"")</f>
        <v>-1.73091666666667</v>
      </c>
      <c r="P162" s="18" t="n">
        <f aca="false">IFERROR(L162*(1-Premissas!$B$10)-Premissas!$B$11-H162-Premissas!$B$7,"")</f>
        <v>-0.512916666666667</v>
      </c>
      <c r="Q162" s="18" t="n">
        <f aca="false">IFERROR(M162*F162,"")</f>
        <v>127.1888</v>
      </c>
      <c r="R162" s="22" t="n">
        <f aca="false">IFERROR(IF(M162&gt;0,ROUNDUP(Premissas!$B$12/M162,0),"sem lucro"),"")</f>
        <v>189</v>
      </c>
      <c r="S162" s="15" t="s">
        <v>82</v>
      </c>
      <c r="T162" s="23" t="s">
        <v>76</v>
      </c>
      <c r="U162" s="15"/>
      <c r="V162" s="18" t="n">
        <f aca="false">IF(AND(T162="S",ISNUMBER(L162),ISNUMBER(F162)),L162*F162*X162,0)</f>
        <v>0</v>
      </c>
      <c r="W162" s="18" t="n">
        <f aca="false">IF(AND(T162="S",ISNUMBER(Q162)),Q162*X162,0)</f>
        <v>0</v>
      </c>
      <c r="X162" s="23" t="n">
        <v>1</v>
      </c>
      <c r="Y162" s="18" t="n">
        <f aca="false">IF(AND(T162="S",ISNUMBER(G162)),G162*X162,0)</f>
        <v>0</v>
      </c>
    </row>
    <row r="163" customFormat="false" ht="15" hidden="false" customHeight="false" outlineLevel="0" collapsed="false">
      <c r="A163" s="14" t="s">
        <v>538</v>
      </c>
      <c r="B163" s="15" t="s">
        <v>539</v>
      </c>
      <c r="C163" s="14" t="s">
        <v>402</v>
      </c>
      <c r="D163" s="14" t="s">
        <v>117</v>
      </c>
      <c r="E163" s="14" t="n">
        <v>13</v>
      </c>
      <c r="F163" s="16" t="n">
        <v>36</v>
      </c>
      <c r="G163" s="17" t="n">
        <v>249.4</v>
      </c>
      <c r="H163" s="18" t="n">
        <f aca="false">IF(ISNUMBER(G163),IFERROR(G163/F163,""),"")</f>
        <v>6.92777777777778</v>
      </c>
      <c r="I163" s="17" t="n">
        <v>12.9</v>
      </c>
      <c r="J163" s="17" t="n">
        <v>12.9</v>
      </c>
      <c r="K163" s="19" t="s">
        <v>64</v>
      </c>
      <c r="L163" s="20" t="n">
        <v>12.9</v>
      </c>
      <c r="M163" s="18" t="n">
        <f aca="false">IFERROR(L163*(1-Premissas!$B$5)*(1-Premissas!$B$6)-H163-Premissas!$B$7,"")</f>
        <v>4.20467222222222</v>
      </c>
      <c r="N163" s="21" t="n">
        <f aca="false">IFERROR(M163/L163,"")</f>
        <v>0.325943583118002</v>
      </c>
      <c r="O163" s="18" t="n">
        <f aca="false">IFERROR(L163*(1-Premissas!$B$8)-Premissas!$B$9-H163-Premissas!$B$7,"")</f>
        <v>-2.82577777777778</v>
      </c>
      <c r="P163" s="18" t="n">
        <f aca="false">IFERROR(L163*(1-Premissas!$B$10)-Premissas!$B$11-H163-Premissas!$B$7,"")</f>
        <v>-1.60777777777778</v>
      </c>
      <c r="Q163" s="18" t="n">
        <f aca="false">IFERROR(M163*F163,"")</f>
        <v>151.3682</v>
      </c>
      <c r="R163" s="22" t="n">
        <f aca="false">IFERROR(IF(M163&gt;0,ROUNDUP(Premissas!$B$12/M163,0),"sem lucro"),"")</f>
        <v>238</v>
      </c>
      <c r="S163" s="15" t="s">
        <v>252</v>
      </c>
      <c r="T163" s="23" t="s">
        <v>76</v>
      </c>
      <c r="U163" s="15" t="s">
        <v>256</v>
      </c>
      <c r="V163" s="18" t="n">
        <f aca="false">IF(AND(T163="S",ISNUMBER(L163),ISNUMBER(F163)),L163*F163*X163,0)</f>
        <v>0</v>
      </c>
      <c r="W163" s="18" t="n">
        <f aca="false">IF(AND(T163="S",ISNUMBER(Q163)),Q163*X163,0)</f>
        <v>0</v>
      </c>
      <c r="X163" s="23" t="n">
        <v>1</v>
      </c>
      <c r="Y163" s="18" t="n">
        <f aca="false">IF(AND(T163="S",ISNUMBER(G163)),G163*X163,0)</f>
        <v>0</v>
      </c>
    </row>
    <row r="164" customFormat="false" ht="15" hidden="false" customHeight="false" outlineLevel="0" collapsed="false">
      <c r="A164" s="14" t="s">
        <v>540</v>
      </c>
      <c r="B164" s="15" t="s">
        <v>541</v>
      </c>
      <c r="C164" s="14" t="s">
        <v>195</v>
      </c>
      <c r="D164" s="14" t="s">
        <v>125</v>
      </c>
      <c r="E164" s="14" t="n">
        <v>13</v>
      </c>
      <c r="F164" s="16" t="n">
        <v>1</v>
      </c>
      <c r="G164" s="17" t="n">
        <v>4.99</v>
      </c>
      <c r="H164" s="18" t="n">
        <f aca="false">IF(ISNUMBER(G164),IFERROR(G164/F164,""),"")</f>
        <v>4.99</v>
      </c>
      <c r="I164" s="17" t="n">
        <v>10</v>
      </c>
      <c r="J164" s="17" t="n">
        <v>12.9</v>
      </c>
      <c r="K164" s="19" t="s">
        <v>64</v>
      </c>
      <c r="L164" s="20" t="n">
        <v>11.9</v>
      </c>
      <c r="M164" s="18" t="n">
        <f aca="false">IFERROR(L164*(1-Premissas!$B$5)*(1-Premissas!$B$6)-H164-Premissas!$B$7,"")</f>
        <v>5.20195</v>
      </c>
      <c r="N164" s="21" t="n">
        <f aca="false">IFERROR(M164/L164,"")</f>
        <v>0.437138655462185</v>
      </c>
      <c r="O164" s="18" t="n">
        <f aca="false">IFERROR(L164*(1-Premissas!$B$8)-Premissas!$B$9-H164-Premissas!$B$7,"")</f>
        <v>-1.768</v>
      </c>
      <c r="P164" s="18" t="n">
        <f aca="false">IFERROR(L164*(1-Premissas!$B$10)-Premissas!$B$11-H164-Premissas!$B$7,"")</f>
        <v>-0.469999999999999</v>
      </c>
      <c r="Q164" s="18" t="n">
        <f aca="false">IFERROR(M164*F164,"")</f>
        <v>5.20195</v>
      </c>
      <c r="R164" s="22" t="n">
        <f aca="false">IFERROR(IF(M164&gt;0,ROUNDUP(Premissas!$B$12/M164,0),"sem lucro"),"")</f>
        <v>193</v>
      </c>
      <c r="S164" s="15" t="s">
        <v>82</v>
      </c>
      <c r="T164" s="23" t="s">
        <v>76</v>
      </c>
      <c r="U164" s="15"/>
      <c r="V164" s="18" t="n">
        <f aca="false">IF(AND(T164="S",ISNUMBER(L164),ISNUMBER(F164)),L164*F164*X164,0)</f>
        <v>0</v>
      </c>
      <c r="W164" s="18" t="n">
        <f aca="false">IF(AND(T164="S",ISNUMBER(Q164)),Q164*X164,0)</f>
        <v>0</v>
      </c>
      <c r="X164" s="23" t="n">
        <v>12</v>
      </c>
      <c r="Y164" s="18" t="n">
        <f aca="false">IF(AND(T164="S",ISNUMBER(G164)),G164*X164,0)</f>
        <v>0</v>
      </c>
    </row>
    <row r="165" customFormat="false" ht="15" hidden="false" customHeight="false" outlineLevel="0" collapsed="false">
      <c r="A165" s="14" t="s">
        <v>542</v>
      </c>
      <c r="B165" s="15" t="s">
        <v>543</v>
      </c>
      <c r="C165" s="14" t="s">
        <v>544</v>
      </c>
      <c r="D165" s="14" t="s">
        <v>108</v>
      </c>
      <c r="E165" s="14" t="n">
        <v>13</v>
      </c>
      <c r="F165" s="16" t="n">
        <v>1</v>
      </c>
      <c r="G165" s="17" t="n">
        <v>4.99</v>
      </c>
      <c r="H165" s="18" t="n">
        <f aca="false">IF(ISNUMBER(G165),IFERROR(G165/F165,""),"")</f>
        <v>4.99</v>
      </c>
      <c r="I165" s="17" t="n">
        <v>21.97</v>
      </c>
      <c r="J165" s="17" t="n">
        <v>49.9</v>
      </c>
      <c r="K165" s="14" t="s">
        <v>93</v>
      </c>
      <c r="L165" s="20" t="n">
        <v>19.9</v>
      </c>
      <c r="M165" s="18" t="n">
        <f aca="false">IFERROR(L165*(1-Premissas!$B$5)*(1-Premissas!$B$6)-H165-Premissas!$B$7,"")</f>
        <v>12.72595</v>
      </c>
      <c r="N165" s="21" t="n">
        <f aca="false">IFERROR(M165/L165,"")</f>
        <v>0.639494974874372</v>
      </c>
      <c r="O165" s="18" t="n">
        <f aca="false">IFERROR(L165*(1-Premissas!$B$8)-Premissas!$B$9-H165-Premissas!$B$7,"")</f>
        <v>5.272</v>
      </c>
      <c r="P165" s="18" t="n">
        <f aca="false">IFERROR(L165*(1-Premissas!$B$10)-Premissas!$B$11-H165-Premissas!$B$7,"")</f>
        <v>5.93</v>
      </c>
      <c r="Q165" s="18" t="n">
        <f aca="false">IFERROR(M165*F165,"")</f>
        <v>12.72595</v>
      </c>
      <c r="R165" s="22" t="n">
        <f aca="false">IFERROR(IF(M165&gt;0,ROUNDUP(Premissas!$B$12/M165,0),"sem lucro"),"")</f>
        <v>79</v>
      </c>
      <c r="S165" s="15" t="s">
        <v>65</v>
      </c>
      <c r="T165" s="23" t="s">
        <v>66</v>
      </c>
      <c r="U165" s="15" t="s">
        <v>545</v>
      </c>
      <c r="V165" s="18" t="n">
        <f aca="false">IF(AND(T165="S",ISNUMBER(L165),ISNUMBER(F165)),L165*F165*X165,0)</f>
        <v>238.8</v>
      </c>
      <c r="W165" s="18" t="n">
        <f aca="false">IF(AND(T165="S",ISNUMBER(Q165)),Q165*X165,0)</f>
        <v>152.7114</v>
      </c>
      <c r="X165" s="23" t="n">
        <v>12</v>
      </c>
      <c r="Y165" s="18" t="n">
        <f aca="false">IF(AND(T165="S",ISNUMBER(G165)),G165*X165,0)</f>
        <v>59.88</v>
      </c>
    </row>
    <row r="166" customFormat="false" ht="15" hidden="false" customHeight="false" outlineLevel="0" collapsed="false">
      <c r="A166" s="14" t="s">
        <v>546</v>
      </c>
      <c r="B166" s="15" t="s">
        <v>547</v>
      </c>
      <c r="C166" s="14" t="s">
        <v>544</v>
      </c>
      <c r="D166" s="14" t="s">
        <v>548</v>
      </c>
      <c r="E166" s="14" t="n">
        <v>13</v>
      </c>
      <c r="F166" s="16" t="n">
        <v>10</v>
      </c>
      <c r="G166" s="17" t="n">
        <v>18.9</v>
      </c>
      <c r="H166" s="18" t="n">
        <f aca="false">IF(ISNUMBER(G166),IFERROR(G166/F166,""),"")</f>
        <v>1.89</v>
      </c>
      <c r="I166" s="17" t="n">
        <v>3.9</v>
      </c>
      <c r="J166" s="17" t="n">
        <v>4.9</v>
      </c>
      <c r="K166" s="19" t="s">
        <v>64</v>
      </c>
      <c r="L166" s="20" t="n">
        <v>4.9</v>
      </c>
      <c r="M166" s="18" t="n">
        <f aca="false">IFERROR(L166*(1-Premissas!$B$5)*(1-Premissas!$B$6)-H166-Premissas!$B$7,"")</f>
        <v>1.71845</v>
      </c>
      <c r="N166" s="21" t="n">
        <f aca="false">IFERROR(M166/L166,"")</f>
        <v>0.350704081632653</v>
      </c>
      <c r="O166" s="18" t="n">
        <f aca="false">IFERROR(L166*(1-Premissas!$B$8)-Premissas!$B$9-H166-Premissas!$B$7,"")</f>
        <v>-4.828</v>
      </c>
      <c r="P166" s="18" t="n">
        <f aca="false">IFERROR(L166*(1-Premissas!$B$10)-Premissas!$B$11-H166-Premissas!$B$7,"")</f>
        <v>-2.97</v>
      </c>
      <c r="Q166" s="18" t="n">
        <f aca="false">IFERROR(M166*F166,"")</f>
        <v>17.1845</v>
      </c>
      <c r="R166" s="22" t="n">
        <f aca="false">IFERROR(IF(M166&gt;0,ROUNDUP(Premissas!$B$12/M166,0),"sem lucro"),"")</f>
        <v>582</v>
      </c>
      <c r="S166" s="15" t="s">
        <v>489</v>
      </c>
      <c r="T166" s="23" t="s">
        <v>76</v>
      </c>
      <c r="U166" s="15" t="s">
        <v>549</v>
      </c>
      <c r="V166" s="18" t="n">
        <f aca="false">IF(AND(T166="S",ISNUMBER(L166),ISNUMBER(F166)),L166*F166*X166,0)</f>
        <v>0</v>
      </c>
      <c r="W166" s="18" t="n">
        <f aca="false">IF(AND(T166="S",ISNUMBER(Q166)),Q166*X166,0)</f>
        <v>0</v>
      </c>
      <c r="X166" s="23" t="n">
        <v>1</v>
      </c>
      <c r="Y166" s="18" t="n">
        <f aca="false">IF(AND(T166="S",ISNUMBER(G166)),G166*X166,0)</f>
        <v>0</v>
      </c>
    </row>
    <row r="167" customFormat="false" ht="15" hidden="false" customHeight="false" outlineLevel="0" collapsed="false">
      <c r="A167" s="14" t="s">
        <v>550</v>
      </c>
      <c r="B167" s="15" t="s">
        <v>551</v>
      </c>
      <c r="C167" s="14" t="s">
        <v>544</v>
      </c>
      <c r="D167" s="14" t="s">
        <v>108</v>
      </c>
      <c r="E167" s="14" t="n">
        <v>13</v>
      </c>
      <c r="F167" s="16" t="n">
        <v>1</v>
      </c>
      <c r="G167" s="17" t="n">
        <v>6.5</v>
      </c>
      <c r="H167" s="18" t="n">
        <f aca="false">IF(ISNUMBER(G167),IFERROR(G167/F167,""),"")</f>
        <v>6.5</v>
      </c>
      <c r="I167" s="17" t="n">
        <v>14.9</v>
      </c>
      <c r="J167" s="17" t="n">
        <v>19.9</v>
      </c>
      <c r="K167" s="19" t="s">
        <v>64</v>
      </c>
      <c r="L167" s="20" t="n">
        <v>16.9</v>
      </c>
      <c r="M167" s="18" t="n">
        <f aca="false">IFERROR(L167*(1-Premissas!$B$5)*(1-Premissas!$B$6)-H167-Premissas!$B$7,"")</f>
        <v>8.39445</v>
      </c>
      <c r="N167" s="21" t="n">
        <f aca="false">IFERROR(M167/L167,"")</f>
        <v>0.496713017751479</v>
      </c>
      <c r="O167" s="18" t="n">
        <f aca="false">IFERROR(L167*(1-Premissas!$B$8)-Premissas!$B$9-H167-Premissas!$B$7,"")</f>
        <v>1.122</v>
      </c>
      <c r="P167" s="18" t="n">
        <f aca="false">IFERROR(L167*(1-Premissas!$B$10)-Premissas!$B$11-H167-Premissas!$B$7,"")</f>
        <v>2.02</v>
      </c>
      <c r="Q167" s="18" t="n">
        <f aca="false">IFERROR(M167*F167,"")</f>
        <v>8.39445</v>
      </c>
      <c r="R167" s="22" t="n">
        <f aca="false">IFERROR(IF(M167&gt;0,ROUNDUP(Premissas!$B$12/M167,0),"sem lucro"),"")</f>
        <v>120</v>
      </c>
      <c r="S167" s="15" t="s">
        <v>82</v>
      </c>
      <c r="T167" s="23" t="s">
        <v>76</v>
      </c>
      <c r="U167" s="15"/>
      <c r="V167" s="18" t="n">
        <f aca="false">IF(AND(T167="S",ISNUMBER(L167),ISNUMBER(F167)),L167*F167*X167,0)</f>
        <v>0</v>
      </c>
      <c r="W167" s="18" t="n">
        <f aca="false">IF(AND(T167="S",ISNUMBER(Q167)),Q167*X167,0)</f>
        <v>0</v>
      </c>
      <c r="X167" s="23" t="n">
        <v>12</v>
      </c>
      <c r="Y167" s="18" t="n">
        <f aca="false">IF(AND(T167="S",ISNUMBER(G167)),G167*X167,0)</f>
        <v>0</v>
      </c>
    </row>
    <row r="168" customFormat="false" ht="15" hidden="false" customHeight="false" outlineLevel="0" collapsed="false">
      <c r="A168" s="14" t="s">
        <v>552</v>
      </c>
      <c r="B168" s="15" t="s">
        <v>553</v>
      </c>
      <c r="C168" s="14" t="s">
        <v>544</v>
      </c>
      <c r="D168" s="14" t="s">
        <v>125</v>
      </c>
      <c r="E168" s="14" t="n">
        <v>13</v>
      </c>
      <c r="F168" s="16" t="n">
        <v>24</v>
      </c>
      <c r="G168" s="17" t="n">
        <v>102.6</v>
      </c>
      <c r="H168" s="18" t="n">
        <f aca="false">IF(ISNUMBER(G168),IFERROR(G168/F168,""),"")</f>
        <v>4.275</v>
      </c>
      <c r="I168" s="17" t="n">
        <v>9.9</v>
      </c>
      <c r="J168" s="17" t="n">
        <v>14.9</v>
      </c>
      <c r="K168" s="19" t="s">
        <v>64</v>
      </c>
      <c r="L168" s="20" t="n">
        <v>12.9</v>
      </c>
      <c r="M168" s="18" t="n">
        <f aca="false">IFERROR(L168*(1-Premissas!$B$5)*(1-Premissas!$B$6)-H168-Premissas!$B$7,"")</f>
        <v>6.85745</v>
      </c>
      <c r="N168" s="21" t="n">
        <f aca="false">IFERROR(M168/L168,"")</f>
        <v>0.531585271317829</v>
      </c>
      <c r="O168" s="18" t="n">
        <f aca="false">IFERROR(L168*(1-Premissas!$B$8)-Premissas!$B$9-H168-Premissas!$B$7,"")</f>
        <v>-0.172999999999999</v>
      </c>
      <c r="P168" s="18" t="n">
        <f aca="false">IFERROR(L168*(1-Premissas!$B$10)-Premissas!$B$11-H168-Premissas!$B$7,"")</f>
        <v>1.045</v>
      </c>
      <c r="Q168" s="18" t="n">
        <f aca="false">IFERROR(M168*F168,"")</f>
        <v>164.5788</v>
      </c>
      <c r="R168" s="22" t="n">
        <f aca="false">IFERROR(IF(M168&gt;0,ROUNDUP(Premissas!$B$12/M168,0),"sem lucro"),"")</f>
        <v>146</v>
      </c>
      <c r="S168" s="15" t="s">
        <v>82</v>
      </c>
      <c r="T168" s="23" t="s">
        <v>76</v>
      </c>
      <c r="U168" s="15" t="s">
        <v>554</v>
      </c>
      <c r="V168" s="18" t="n">
        <f aca="false">IF(AND(T168="S",ISNUMBER(L168),ISNUMBER(F168)),L168*F168*X168,0)</f>
        <v>0</v>
      </c>
      <c r="W168" s="18" t="n">
        <f aca="false">IF(AND(T168="S",ISNUMBER(Q168)),Q168*X168,0)</f>
        <v>0</v>
      </c>
      <c r="X168" s="23" t="n">
        <v>1</v>
      </c>
      <c r="Y168" s="18" t="n">
        <f aca="false">IF(AND(T168="S",ISNUMBER(G168)),G168*X168,0)</f>
        <v>0</v>
      </c>
    </row>
    <row r="169" customFormat="false" ht="15" hidden="false" customHeight="false" outlineLevel="0" collapsed="false">
      <c r="A169" s="14" t="s">
        <v>555</v>
      </c>
      <c r="B169" s="15" t="s">
        <v>556</v>
      </c>
      <c r="C169" s="14" t="s">
        <v>544</v>
      </c>
      <c r="D169" s="14" t="s">
        <v>108</v>
      </c>
      <c r="E169" s="14" t="n">
        <v>14</v>
      </c>
      <c r="F169" s="16" t="n">
        <v>1</v>
      </c>
      <c r="G169" s="17" t="n">
        <v>5.8</v>
      </c>
      <c r="H169" s="18" t="n">
        <f aca="false">IF(ISNUMBER(G169),IFERROR(G169/F169,""),"")</f>
        <v>5.8</v>
      </c>
      <c r="I169" s="17" t="n">
        <v>12.9</v>
      </c>
      <c r="J169" s="17" t="n">
        <v>14.9</v>
      </c>
      <c r="K169" s="19" t="s">
        <v>64</v>
      </c>
      <c r="L169" s="20" t="n">
        <v>12.9</v>
      </c>
      <c r="M169" s="18" t="n">
        <f aca="false">IFERROR(L169*(1-Premissas!$B$5)*(1-Premissas!$B$6)-H169-Premissas!$B$7,"")</f>
        <v>5.33245</v>
      </c>
      <c r="N169" s="21" t="n">
        <f aca="false">IFERROR(M169/L169,"")</f>
        <v>0.413368217054263</v>
      </c>
      <c r="O169" s="18" t="n">
        <f aca="false">IFERROR(L169*(1-Premissas!$B$8)-Premissas!$B$9-H169-Premissas!$B$7,"")</f>
        <v>-1.698</v>
      </c>
      <c r="P169" s="18" t="n">
        <f aca="false">IFERROR(L169*(1-Premissas!$B$10)-Premissas!$B$11-H169-Premissas!$B$7,"")</f>
        <v>-0.48</v>
      </c>
      <c r="Q169" s="18" t="n">
        <f aca="false">IFERROR(M169*F169,"")</f>
        <v>5.33245</v>
      </c>
      <c r="R169" s="22" t="n">
        <f aca="false">IFERROR(IF(M169&gt;0,ROUNDUP(Premissas!$B$12/M169,0),"sem lucro"),"")</f>
        <v>188</v>
      </c>
      <c r="S169" s="15" t="s">
        <v>82</v>
      </c>
      <c r="T169" s="23" t="s">
        <v>76</v>
      </c>
      <c r="U169" s="15"/>
      <c r="V169" s="18" t="n">
        <f aca="false">IF(AND(T169="S",ISNUMBER(L169),ISNUMBER(F169)),L169*F169*X169,0)</f>
        <v>0</v>
      </c>
      <c r="W169" s="18" t="n">
        <f aca="false">IF(AND(T169="S",ISNUMBER(Q169)),Q169*X169,0)</f>
        <v>0</v>
      </c>
      <c r="X169" s="23" t="n">
        <v>12</v>
      </c>
      <c r="Y169" s="18" t="n">
        <f aca="false">IF(AND(T169="S",ISNUMBER(G169)),G169*X169,0)</f>
        <v>0</v>
      </c>
    </row>
    <row r="170" customFormat="false" ht="15" hidden="false" customHeight="false" outlineLevel="0" collapsed="false">
      <c r="A170" s="14" t="s">
        <v>557</v>
      </c>
      <c r="B170" s="15" t="s">
        <v>558</v>
      </c>
      <c r="C170" s="14" t="s">
        <v>544</v>
      </c>
      <c r="D170" s="14" t="s">
        <v>108</v>
      </c>
      <c r="E170" s="14" t="n">
        <v>14</v>
      </c>
      <c r="F170" s="16" t="n">
        <v>1</v>
      </c>
      <c r="G170" s="17" t="n">
        <v>6.5</v>
      </c>
      <c r="H170" s="18" t="n">
        <f aca="false">IF(ISNUMBER(G170),IFERROR(G170/F170,""),"")</f>
        <v>6.5</v>
      </c>
      <c r="I170" s="17" t="n">
        <v>13.9</v>
      </c>
      <c r="J170" s="17" t="n">
        <v>19.9</v>
      </c>
      <c r="K170" s="19" t="s">
        <v>64</v>
      </c>
      <c r="L170" s="20" t="n">
        <v>16.9</v>
      </c>
      <c r="M170" s="18" t="n">
        <f aca="false">IFERROR(L170*(1-Premissas!$B$5)*(1-Premissas!$B$6)-H170-Premissas!$B$7,"")</f>
        <v>8.39445</v>
      </c>
      <c r="N170" s="21" t="n">
        <f aca="false">IFERROR(M170/L170,"")</f>
        <v>0.496713017751479</v>
      </c>
      <c r="O170" s="18" t="n">
        <f aca="false">IFERROR(L170*(1-Premissas!$B$8)-Premissas!$B$9-H170-Premissas!$B$7,"")</f>
        <v>1.122</v>
      </c>
      <c r="P170" s="18" t="n">
        <f aca="false">IFERROR(L170*(1-Premissas!$B$10)-Premissas!$B$11-H170-Premissas!$B$7,"")</f>
        <v>2.02</v>
      </c>
      <c r="Q170" s="18" t="n">
        <f aca="false">IFERROR(M170*F170,"")</f>
        <v>8.39445</v>
      </c>
      <c r="R170" s="22" t="n">
        <f aca="false">IFERROR(IF(M170&gt;0,ROUNDUP(Premissas!$B$12/M170,0),"sem lucro"),"")</f>
        <v>120</v>
      </c>
      <c r="S170" s="15" t="s">
        <v>82</v>
      </c>
      <c r="T170" s="23" t="s">
        <v>76</v>
      </c>
      <c r="U170" s="15" t="s">
        <v>559</v>
      </c>
      <c r="V170" s="18" t="n">
        <f aca="false">IF(AND(T170="S",ISNUMBER(L170),ISNUMBER(F170)),L170*F170*X170,0)</f>
        <v>0</v>
      </c>
      <c r="W170" s="18" t="n">
        <f aca="false">IF(AND(T170="S",ISNUMBER(Q170)),Q170*X170,0)</f>
        <v>0</v>
      </c>
      <c r="X170" s="23" t="n">
        <v>12</v>
      </c>
      <c r="Y170" s="18" t="n">
        <f aca="false">IF(AND(T170="S",ISNUMBER(G170)),G170*X170,0)</f>
        <v>0</v>
      </c>
    </row>
    <row r="171" customFormat="false" ht="15" hidden="false" customHeight="false" outlineLevel="0" collapsed="false">
      <c r="A171" s="14" t="s">
        <v>560</v>
      </c>
      <c r="B171" s="15" t="s">
        <v>561</v>
      </c>
      <c r="C171" s="14" t="s">
        <v>174</v>
      </c>
      <c r="D171" s="14" t="s">
        <v>63</v>
      </c>
      <c r="E171" s="14" t="n">
        <v>14</v>
      </c>
      <c r="F171" s="16" t="n">
        <v>30</v>
      </c>
      <c r="G171" s="17" t="n">
        <v>200.2</v>
      </c>
      <c r="H171" s="18" t="n">
        <f aca="false">IF(ISNUMBER(G171),IFERROR(G171/F171,""),"")</f>
        <v>6.67333333333333</v>
      </c>
      <c r="I171" s="17" t="n">
        <v>12.9</v>
      </c>
      <c r="J171" s="17" t="n">
        <v>12.9</v>
      </c>
      <c r="K171" s="19" t="s">
        <v>64</v>
      </c>
      <c r="L171" s="20" t="n">
        <v>12.9</v>
      </c>
      <c r="M171" s="18" t="n">
        <f aca="false">IFERROR(L171*(1-Premissas!$B$5)*(1-Premissas!$B$6)-H171-Premissas!$B$7,"")</f>
        <v>4.45911666666667</v>
      </c>
      <c r="N171" s="21" t="n">
        <f aca="false">IFERROR(M171/L171,"")</f>
        <v>0.345667958656331</v>
      </c>
      <c r="O171" s="18" t="n">
        <f aca="false">IFERROR(L171*(1-Premissas!$B$8)-Premissas!$B$9-H171-Premissas!$B$7,"")</f>
        <v>-2.57133333333333</v>
      </c>
      <c r="P171" s="18" t="n">
        <f aca="false">IFERROR(L171*(1-Premissas!$B$10)-Premissas!$B$11-H171-Premissas!$B$7,"")</f>
        <v>-1.35333333333333</v>
      </c>
      <c r="Q171" s="18" t="n">
        <f aca="false">IFERROR(M171*F171,"")</f>
        <v>133.7735</v>
      </c>
      <c r="R171" s="22" t="n">
        <f aca="false">IFERROR(IF(M171&gt;0,ROUNDUP(Premissas!$B$12/M171,0),"sem lucro"),"")</f>
        <v>225</v>
      </c>
      <c r="S171" s="15" t="s">
        <v>307</v>
      </c>
      <c r="T171" s="23" t="s">
        <v>76</v>
      </c>
      <c r="U171" s="15" t="s">
        <v>562</v>
      </c>
      <c r="V171" s="18" t="n">
        <f aca="false">IF(AND(T171="S",ISNUMBER(L171),ISNUMBER(F171)),L171*F171*X171,0)</f>
        <v>0</v>
      </c>
      <c r="W171" s="18" t="n">
        <f aca="false">IF(AND(T171="S",ISNUMBER(Q171)),Q171*X171,0)</f>
        <v>0</v>
      </c>
      <c r="X171" s="23" t="n">
        <v>1</v>
      </c>
      <c r="Y171" s="18" t="n">
        <f aca="false">IF(AND(T171="S",ISNUMBER(G171)),G171*X171,0)</f>
        <v>0</v>
      </c>
    </row>
    <row r="172" customFormat="false" ht="15" hidden="false" customHeight="false" outlineLevel="0" collapsed="false">
      <c r="A172" s="14" t="s">
        <v>563</v>
      </c>
      <c r="B172" s="15" t="s">
        <v>564</v>
      </c>
      <c r="C172" s="14" t="s">
        <v>133</v>
      </c>
      <c r="D172" s="14" t="s">
        <v>117</v>
      </c>
      <c r="E172" s="14" t="n">
        <v>14</v>
      </c>
      <c r="F172" s="16" t="n">
        <v>1</v>
      </c>
      <c r="G172" s="17" t="n">
        <v>6.25</v>
      </c>
      <c r="H172" s="18" t="n">
        <f aca="false">IF(ISNUMBER(G172),IFERROR(G172/F172,""),"")</f>
        <v>6.25</v>
      </c>
      <c r="I172" s="17" t="n">
        <v>10</v>
      </c>
      <c r="J172" s="17" t="n">
        <v>12.9</v>
      </c>
      <c r="K172" s="19" t="s">
        <v>64</v>
      </c>
      <c r="L172" s="20" t="n">
        <v>11.9</v>
      </c>
      <c r="M172" s="18" t="n">
        <f aca="false">IFERROR(L172*(1-Premissas!$B$5)*(1-Premissas!$B$6)-H172-Premissas!$B$7,"")</f>
        <v>3.94195</v>
      </c>
      <c r="N172" s="21" t="n">
        <f aca="false">IFERROR(M172/L172,"")</f>
        <v>0.331256302521008</v>
      </c>
      <c r="O172" s="18" t="n">
        <f aca="false">IFERROR(L172*(1-Premissas!$B$8)-Premissas!$B$9-H172-Premissas!$B$7,"")</f>
        <v>-3.028</v>
      </c>
      <c r="P172" s="18" t="n">
        <f aca="false">IFERROR(L172*(1-Premissas!$B$10)-Premissas!$B$11-H172-Premissas!$B$7,"")</f>
        <v>-1.73</v>
      </c>
      <c r="Q172" s="18" t="n">
        <f aca="false">IFERROR(M172*F172,"")</f>
        <v>3.94195</v>
      </c>
      <c r="R172" s="22" t="n">
        <f aca="false">IFERROR(IF(M172&gt;0,ROUNDUP(Premissas!$B$12/M172,0),"sem lucro"),"")</f>
        <v>254</v>
      </c>
      <c r="S172" s="15" t="s">
        <v>252</v>
      </c>
      <c r="T172" s="23" t="s">
        <v>76</v>
      </c>
      <c r="U172" s="15"/>
      <c r="V172" s="18" t="n">
        <f aca="false">IF(AND(T172="S",ISNUMBER(L172),ISNUMBER(F172)),L172*F172*X172,0)</f>
        <v>0</v>
      </c>
      <c r="W172" s="18" t="n">
        <f aca="false">IF(AND(T172="S",ISNUMBER(Q172)),Q172*X172,0)</f>
        <v>0</v>
      </c>
      <c r="X172" s="23" t="n">
        <v>12</v>
      </c>
      <c r="Y172" s="18" t="n">
        <f aca="false">IF(AND(T172="S",ISNUMBER(G172)),G172*X172,0)</f>
        <v>0</v>
      </c>
    </row>
    <row r="173" customFormat="false" ht="26.85" hidden="false" customHeight="false" outlineLevel="0" collapsed="false">
      <c r="A173" s="14" t="s">
        <v>565</v>
      </c>
      <c r="B173" s="15" t="s">
        <v>566</v>
      </c>
      <c r="C173" s="14" t="s">
        <v>255</v>
      </c>
      <c r="D173" s="14" t="s">
        <v>125</v>
      </c>
      <c r="E173" s="14" t="n">
        <v>14</v>
      </c>
      <c r="F173" s="16" t="n">
        <v>24</v>
      </c>
      <c r="G173" s="17" t="n">
        <v>164.99</v>
      </c>
      <c r="H173" s="18" t="n">
        <f aca="false">IF(ISNUMBER(G173),IFERROR(G173/F173,""),"")</f>
        <v>6.87458333333333</v>
      </c>
      <c r="I173" s="17" t="n">
        <v>12.9</v>
      </c>
      <c r="J173" s="17" t="n">
        <v>12.9</v>
      </c>
      <c r="K173" s="19" t="s">
        <v>64</v>
      </c>
      <c r="L173" s="20" t="n">
        <v>12.9</v>
      </c>
      <c r="M173" s="18" t="n">
        <f aca="false">IFERROR(L173*(1-Premissas!$B$5)*(1-Premissas!$B$6)-H173-Premissas!$B$7,"")</f>
        <v>4.25786666666667</v>
      </c>
      <c r="N173" s="21" t="n">
        <f aca="false">IFERROR(M173/L173,"")</f>
        <v>0.330067183462532</v>
      </c>
      <c r="O173" s="18" t="n">
        <f aca="false">IFERROR(L173*(1-Premissas!$B$8)-Premissas!$B$9-H173-Premissas!$B$7,"")</f>
        <v>-2.77258333333333</v>
      </c>
      <c r="P173" s="18" t="n">
        <f aca="false">IFERROR(L173*(1-Premissas!$B$10)-Premissas!$B$11-H173-Premissas!$B$7,"")</f>
        <v>-1.55458333333333</v>
      </c>
      <c r="Q173" s="18" t="n">
        <f aca="false">IFERROR(M173*F173,"")</f>
        <v>102.1888</v>
      </c>
      <c r="R173" s="22" t="n">
        <f aca="false">IFERROR(IF(M173&gt;0,ROUNDUP(Premissas!$B$12/M173,0),"sem lucro"),"")</f>
        <v>235</v>
      </c>
      <c r="S173" s="15" t="s">
        <v>567</v>
      </c>
      <c r="T173" s="23" t="s">
        <v>76</v>
      </c>
      <c r="U173" s="15" t="s">
        <v>486</v>
      </c>
      <c r="V173" s="18" t="n">
        <f aca="false">IF(AND(T173="S",ISNUMBER(L173),ISNUMBER(F173)),L173*F173*X173,0)</f>
        <v>0</v>
      </c>
      <c r="W173" s="18" t="n">
        <f aca="false">IF(AND(T173="S",ISNUMBER(Q173)),Q173*X173,0)</f>
        <v>0</v>
      </c>
      <c r="X173" s="23" t="n">
        <v>1</v>
      </c>
      <c r="Y173" s="18" t="n">
        <f aca="false">IF(AND(T173="S",ISNUMBER(G173)),G173*X173,0)</f>
        <v>0</v>
      </c>
    </row>
    <row r="174" customFormat="false" ht="15" hidden="false" customHeight="false" outlineLevel="0" collapsed="false">
      <c r="A174" s="14" t="s">
        <v>568</v>
      </c>
      <c r="B174" s="15" t="s">
        <v>569</v>
      </c>
      <c r="C174" s="14" t="s">
        <v>259</v>
      </c>
      <c r="D174" s="14" t="s">
        <v>117</v>
      </c>
      <c r="E174" s="14" t="n">
        <v>14</v>
      </c>
      <c r="F174" s="16" t="n">
        <v>24</v>
      </c>
      <c r="G174" s="17" t="n">
        <v>129.99</v>
      </c>
      <c r="H174" s="18" t="n">
        <f aca="false">IF(ISNUMBER(G174),IFERROR(G174/F174,""),"")</f>
        <v>5.41625</v>
      </c>
      <c r="I174" s="17" t="n">
        <v>12.9</v>
      </c>
      <c r="J174" s="17" t="n">
        <v>12.9</v>
      </c>
      <c r="K174" s="19" t="s">
        <v>64</v>
      </c>
      <c r="L174" s="20" t="n">
        <v>12.9</v>
      </c>
      <c r="M174" s="18" t="n">
        <f aca="false">IFERROR(L174*(1-Premissas!$B$5)*(1-Premissas!$B$6)-H174-Premissas!$B$7,"")</f>
        <v>5.7162</v>
      </c>
      <c r="N174" s="21" t="n">
        <f aca="false">IFERROR(M174/L174,"")</f>
        <v>0.443116279069767</v>
      </c>
      <c r="O174" s="18" t="n">
        <f aca="false">IFERROR(L174*(1-Premissas!$B$8)-Premissas!$B$9-H174-Premissas!$B$7,"")</f>
        <v>-1.31425</v>
      </c>
      <c r="P174" s="18" t="n">
        <f aca="false">IFERROR(L174*(1-Premissas!$B$10)-Premissas!$B$11-H174-Premissas!$B$7,"")</f>
        <v>-0.0962500000000004</v>
      </c>
      <c r="Q174" s="18" t="n">
        <f aca="false">IFERROR(M174*F174,"")</f>
        <v>137.1888</v>
      </c>
      <c r="R174" s="22" t="n">
        <f aca="false">IFERROR(IF(M174&gt;0,ROUNDUP(Premissas!$B$12/M174,0),"sem lucro"),"")</f>
        <v>175</v>
      </c>
      <c r="S174" s="15" t="s">
        <v>82</v>
      </c>
      <c r="T174" s="23" t="s">
        <v>76</v>
      </c>
      <c r="U174" s="15"/>
      <c r="V174" s="18" t="n">
        <f aca="false">IF(AND(T174="S",ISNUMBER(L174),ISNUMBER(F174)),L174*F174*X174,0)</f>
        <v>0</v>
      </c>
      <c r="W174" s="18" t="n">
        <f aca="false">IF(AND(T174="S",ISNUMBER(Q174)),Q174*X174,0)</f>
        <v>0</v>
      </c>
      <c r="X174" s="23" t="n">
        <v>1</v>
      </c>
      <c r="Y174" s="18" t="n">
        <f aca="false">IF(AND(T174="S",ISNUMBER(G174)),G174*X174,0)</f>
        <v>0</v>
      </c>
    </row>
    <row r="175" customFormat="false" ht="15" hidden="false" customHeight="false" outlineLevel="0" collapsed="false">
      <c r="A175" s="14" t="s">
        <v>570</v>
      </c>
      <c r="B175" s="15" t="s">
        <v>571</v>
      </c>
      <c r="C175" s="14" t="s">
        <v>572</v>
      </c>
      <c r="D175" s="14" t="s">
        <v>108</v>
      </c>
      <c r="E175" s="14" t="n">
        <v>14</v>
      </c>
      <c r="F175" s="16" t="n">
        <v>1</v>
      </c>
      <c r="G175" s="17" t="n">
        <v>5.9</v>
      </c>
      <c r="H175" s="18" t="n">
        <f aca="false">IF(ISNUMBER(G175),IFERROR(G175/F175,""),"")</f>
        <v>5.9</v>
      </c>
      <c r="I175" s="17" t="n">
        <v>9.9</v>
      </c>
      <c r="J175" s="17" t="n">
        <v>12.9</v>
      </c>
      <c r="K175" s="19" t="s">
        <v>64</v>
      </c>
      <c r="L175" s="20" t="n">
        <v>11.9</v>
      </c>
      <c r="M175" s="18" t="n">
        <f aca="false">IFERROR(L175*(1-Premissas!$B$5)*(1-Premissas!$B$6)-H175-Premissas!$B$7,"")</f>
        <v>4.29195</v>
      </c>
      <c r="N175" s="21" t="n">
        <f aca="false">IFERROR(M175/L175,"")</f>
        <v>0.360668067226891</v>
      </c>
      <c r="O175" s="18" t="n">
        <f aca="false">IFERROR(L175*(1-Premissas!$B$8)-Premissas!$B$9-H175-Premissas!$B$7,"")</f>
        <v>-2.678</v>
      </c>
      <c r="P175" s="18" t="n">
        <f aca="false">IFERROR(L175*(1-Premissas!$B$10)-Premissas!$B$11-H175-Premissas!$B$7,"")</f>
        <v>-1.38</v>
      </c>
      <c r="Q175" s="18" t="n">
        <f aca="false">IFERROR(M175*F175,"")</f>
        <v>4.29195</v>
      </c>
      <c r="R175" s="22" t="n">
        <f aca="false">IFERROR(IF(M175&gt;0,ROUNDUP(Premissas!$B$12/M175,0),"sem lucro"),"")</f>
        <v>233</v>
      </c>
      <c r="S175" s="15" t="s">
        <v>82</v>
      </c>
      <c r="T175" s="23" t="s">
        <v>76</v>
      </c>
      <c r="U175" s="15"/>
      <c r="V175" s="18" t="n">
        <f aca="false">IF(AND(T175="S",ISNUMBER(L175),ISNUMBER(F175)),L175*F175*X175,0)</f>
        <v>0</v>
      </c>
      <c r="W175" s="18" t="n">
        <f aca="false">IF(AND(T175="S",ISNUMBER(Q175)),Q175*X175,0)</f>
        <v>0</v>
      </c>
      <c r="X175" s="23" t="n">
        <v>12</v>
      </c>
      <c r="Y175" s="18" t="n">
        <f aca="false">IF(AND(T175="S",ISNUMBER(G175)),G175*X175,0)</f>
        <v>0</v>
      </c>
    </row>
    <row r="176" customFormat="false" ht="15" hidden="false" customHeight="false" outlineLevel="0" collapsed="false">
      <c r="A176" s="14" t="s">
        <v>573</v>
      </c>
      <c r="B176" s="15" t="s">
        <v>574</v>
      </c>
      <c r="C176" s="14" t="s">
        <v>156</v>
      </c>
      <c r="D176" s="14" t="s">
        <v>157</v>
      </c>
      <c r="E176" s="14" t="n">
        <v>14</v>
      </c>
      <c r="F176" s="16" t="n">
        <v>24</v>
      </c>
      <c r="G176" s="17" t="n">
        <v>139.99</v>
      </c>
      <c r="H176" s="18" t="n">
        <f aca="false">IF(ISNUMBER(G176),IFERROR(G176/F176,""),"")</f>
        <v>5.83291666666667</v>
      </c>
      <c r="I176" s="17" t="n">
        <v>12.9</v>
      </c>
      <c r="J176" s="17" t="n">
        <v>12.9</v>
      </c>
      <c r="K176" s="19" t="s">
        <v>64</v>
      </c>
      <c r="L176" s="20" t="n">
        <v>12.9</v>
      </c>
      <c r="M176" s="18" t="n">
        <f aca="false">IFERROR(L176*(1-Premissas!$B$5)*(1-Premissas!$B$6)-H176-Premissas!$B$7,"")</f>
        <v>5.29953333333333</v>
      </c>
      <c r="N176" s="21" t="n">
        <f aca="false">IFERROR(M176/L176,"")</f>
        <v>0.4108165374677</v>
      </c>
      <c r="O176" s="18" t="n">
        <f aca="false">IFERROR(L176*(1-Premissas!$B$8)-Premissas!$B$9-H176-Premissas!$B$7,"")</f>
        <v>-1.73091666666667</v>
      </c>
      <c r="P176" s="18" t="n">
        <f aca="false">IFERROR(L176*(1-Premissas!$B$10)-Premissas!$B$11-H176-Premissas!$B$7,"")</f>
        <v>-0.512916666666667</v>
      </c>
      <c r="Q176" s="18" t="n">
        <f aca="false">IFERROR(M176*F176,"")</f>
        <v>127.1888</v>
      </c>
      <c r="R176" s="22" t="n">
        <f aca="false">IFERROR(IF(M176&gt;0,ROUNDUP(Premissas!$B$12/M176,0),"sem lucro"),"")</f>
        <v>189</v>
      </c>
      <c r="S176" s="15" t="s">
        <v>82</v>
      </c>
      <c r="T176" s="23" t="s">
        <v>76</v>
      </c>
      <c r="U176" s="15" t="s">
        <v>575</v>
      </c>
      <c r="V176" s="18" t="n">
        <f aca="false">IF(AND(T176="S",ISNUMBER(L176),ISNUMBER(F176)),L176*F176*X176,0)</f>
        <v>0</v>
      </c>
      <c r="W176" s="18" t="n">
        <f aca="false">IF(AND(T176="S",ISNUMBER(Q176)),Q176*X176,0)</f>
        <v>0</v>
      </c>
      <c r="X176" s="23" t="n">
        <v>1</v>
      </c>
      <c r="Y176" s="18" t="n">
        <f aca="false">IF(AND(T176="S",ISNUMBER(G176)),G176*X176,0)</f>
        <v>0</v>
      </c>
    </row>
    <row r="177" customFormat="false" ht="15" hidden="false" customHeight="false" outlineLevel="0" collapsed="false">
      <c r="A177" s="14" t="s">
        <v>576</v>
      </c>
      <c r="B177" s="15" t="s">
        <v>577</v>
      </c>
      <c r="C177" s="14" t="s">
        <v>156</v>
      </c>
      <c r="D177" s="14" t="s">
        <v>63</v>
      </c>
      <c r="E177" s="14" t="n">
        <v>14</v>
      </c>
      <c r="F177" s="16" t="n">
        <v>1</v>
      </c>
      <c r="G177" s="17" t="n">
        <v>5.5</v>
      </c>
      <c r="H177" s="18" t="n">
        <f aca="false">IF(ISNUMBER(G177),IFERROR(G177/F177,""),"")</f>
        <v>5.5</v>
      </c>
      <c r="I177" s="17" t="n">
        <v>12.9</v>
      </c>
      <c r="J177" s="17" t="n">
        <v>12.9</v>
      </c>
      <c r="K177" s="19" t="s">
        <v>64</v>
      </c>
      <c r="L177" s="20" t="n">
        <v>12.9</v>
      </c>
      <c r="M177" s="18" t="n">
        <f aca="false">IFERROR(L177*(1-Premissas!$B$5)*(1-Premissas!$B$6)-H177-Premissas!$B$7,"")</f>
        <v>5.63245</v>
      </c>
      <c r="N177" s="21" t="n">
        <f aca="false">IFERROR(M177/L177,"")</f>
        <v>0.436624031007752</v>
      </c>
      <c r="O177" s="18" t="n">
        <f aca="false">IFERROR(L177*(1-Premissas!$B$8)-Premissas!$B$9-H177-Premissas!$B$7,"")</f>
        <v>-1.398</v>
      </c>
      <c r="P177" s="18" t="n">
        <f aca="false">IFERROR(L177*(1-Premissas!$B$10)-Premissas!$B$11-H177-Premissas!$B$7,"")</f>
        <v>-0.18</v>
      </c>
      <c r="Q177" s="18" t="n">
        <f aca="false">IFERROR(M177*F177,"")</f>
        <v>5.63245</v>
      </c>
      <c r="R177" s="22" t="n">
        <f aca="false">IFERROR(IF(M177&gt;0,ROUNDUP(Premissas!$B$12/M177,0),"sem lucro"),"")</f>
        <v>178</v>
      </c>
      <c r="S177" s="15" t="s">
        <v>82</v>
      </c>
      <c r="T177" s="23" t="s">
        <v>76</v>
      </c>
      <c r="U177" s="15"/>
      <c r="V177" s="18" t="n">
        <f aca="false">IF(AND(T177="S",ISNUMBER(L177),ISNUMBER(F177)),L177*F177*X177,0)</f>
        <v>0</v>
      </c>
      <c r="W177" s="18" t="n">
        <f aca="false">IF(AND(T177="S",ISNUMBER(Q177)),Q177*X177,0)</f>
        <v>0</v>
      </c>
      <c r="X177" s="23" t="n">
        <v>12</v>
      </c>
      <c r="Y177" s="18" t="n">
        <f aca="false">IF(AND(T177="S",ISNUMBER(G177)),G177*X177,0)</f>
        <v>0</v>
      </c>
    </row>
    <row r="178" customFormat="false" ht="15" hidden="false" customHeight="false" outlineLevel="0" collapsed="false">
      <c r="A178" s="14" t="s">
        <v>578</v>
      </c>
      <c r="B178" s="15" t="s">
        <v>579</v>
      </c>
      <c r="C178" s="14" t="s">
        <v>156</v>
      </c>
      <c r="D178" s="14" t="s">
        <v>117</v>
      </c>
      <c r="E178" s="14" t="n">
        <v>14</v>
      </c>
      <c r="F178" s="16" t="n">
        <v>24</v>
      </c>
      <c r="G178" s="17" t="n">
        <v>145.8</v>
      </c>
      <c r="H178" s="18" t="n">
        <f aca="false">IF(ISNUMBER(G178),IFERROR(G178/F178,""),"")</f>
        <v>6.075</v>
      </c>
      <c r="I178" s="17" t="n">
        <v>12.9</v>
      </c>
      <c r="J178" s="17" t="n">
        <v>12.9</v>
      </c>
      <c r="K178" s="19" t="s">
        <v>64</v>
      </c>
      <c r="L178" s="20" t="n">
        <v>12.9</v>
      </c>
      <c r="M178" s="18" t="n">
        <f aca="false">IFERROR(L178*(1-Premissas!$B$5)*(1-Premissas!$B$6)-H178-Premissas!$B$7,"")</f>
        <v>5.05745</v>
      </c>
      <c r="N178" s="21" t="n">
        <f aca="false">IFERROR(M178/L178,"")</f>
        <v>0.392050387596899</v>
      </c>
      <c r="O178" s="18" t="n">
        <f aca="false">IFERROR(L178*(1-Premissas!$B$8)-Premissas!$B$9-H178-Premissas!$B$7,"")</f>
        <v>-1.973</v>
      </c>
      <c r="P178" s="18" t="n">
        <f aca="false">IFERROR(L178*(1-Premissas!$B$10)-Premissas!$B$11-H178-Premissas!$B$7,"")</f>
        <v>-0.755</v>
      </c>
      <c r="Q178" s="18" t="n">
        <f aca="false">IFERROR(M178*F178,"")</f>
        <v>121.3788</v>
      </c>
      <c r="R178" s="22" t="n">
        <f aca="false">IFERROR(IF(M178&gt;0,ROUNDUP(Premissas!$B$12/M178,0),"sem lucro"),"")</f>
        <v>198</v>
      </c>
      <c r="S178" s="15" t="s">
        <v>82</v>
      </c>
      <c r="T178" s="23" t="s">
        <v>76</v>
      </c>
      <c r="U178" s="15"/>
      <c r="V178" s="18" t="n">
        <f aca="false">IF(AND(T178="S",ISNUMBER(L178),ISNUMBER(F178)),L178*F178*X178,0)</f>
        <v>0</v>
      </c>
      <c r="W178" s="18" t="n">
        <f aca="false">IF(AND(T178="S",ISNUMBER(Q178)),Q178*X178,0)</f>
        <v>0</v>
      </c>
      <c r="X178" s="23" t="n">
        <v>1</v>
      </c>
      <c r="Y178" s="18" t="n">
        <f aca="false">IF(AND(T178="S",ISNUMBER(G178)),G178*X178,0)</f>
        <v>0</v>
      </c>
    </row>
    <row r="179" customFormat="false" ht="15" hidden="false" customHeight="false" outlineLevel="0" collapsed="false">
      <c r="A179" s="14" t="s">
        <v>580</v>
      </c>
      <c r="B179" s="15" t="s">
        <v>581</v>
      </c>
      <c r="C179" s="14" t="s">
        <v>156</v>
      </c>
      <c r="D179" s="14" t="s">
        <v>63</v>
      </c>
      <c r="E179" s="14" t="n">
        <v>14</v>
      </c>
      <c r="F179" s="16" t="n">
        <v>24</v>
      </c>
      <c r="G179" s="17" t="n">
        <v>160.4</v>
      </c>
      <c r="H179" s="18" t="n">
        <f aca="false">IF(ISNUMBER(G179),IFERROR(G179/F179,""),"")</f>
        <v>6.68333333333333</v>
      </c>
      <c r="I179" s="17" t="n">
        <v>12.9</v>
      </c>
      <c r="J179" s="17" t="n">
        <v>12.9</v>
      </c>
      <c r="K179" s="19" t="s">
        <v>64</v>
      </c>
      <c r="L179" s="20" t="n">
        <v>12.9</v>
      </c>
      <c r="M179" s="18" t="n">
        <f aca="false">IFERROR(L179*(1-Premissas!$B$5)*(1-Premissas!$B$6)-H179-Premissas!$B$7,"")</f>
        <v>4.44911666666667</v>
      </c>
      <c r="N179" s="21" t="n">
        <f aca="false">IFERROR(M179/L179,"")</f>
        <v>0.344892764857881</v>
      </c>
      <c r="O179" s="18" t="n">
        <f aca="false">IFERROR(L179*(1-Premissas!$B$8)-Premissas!$B$9-H179-Premissas!$B$7,"")</f>
        <v>-2.58133333333333</v>
      </c>
      <c r="P179" s="18" t="n">
        <f aca="false">IFERROR(L179*(1-Premissas!$B$10)-Premissas!$B$11-H179-Premissas!$B$7,"")</f>
        <v>-1.36333333333333</v>
      </c>
      <c r="Q179" s="18" t="n">
        <f aca="false">IFERROR(M179*F179,"")</f>
        <v>106.7788</v>
      </c>
      <c r="R179" s="22" t="n">
        <f aca="false">IFERROR(IF(M179&gt;0,ROUNDUP(Premissas!$B$12/M179,0),"sem lucro"),"")</f>
        <v>225</v>
      </c>
      <c r="S179" s="15" t="s">
        <v>582</v>
      </c>
      <c r="T179" s="23" t="s">
        <v>76</v>
      </c>
      <c r="U179" s="15"/>
      <c r="V179" s="18" t="n">
        <f aca="false">IF(AND(T179="S",ISNUMBER(L179),ISNUMBER(F179)),L179*F179*X179,0)</f>
        <v>0</v>
      </c>
      <c r="W179" s="18" t="n">
        <f aca="false">IF(AND(T179="S",ISNUMBER(Q179)),Q179*X179,0)</f>
        <v>0</v>
      </c>
      <c r="X179" s="23" t="n">
        <v>1</v>
      </c>
      <c r="Y179" s="18" t="n">
        <f aca="false">IF(AND(T179="S",ISNUMBER(G179)),G179*X179,0)</f>
        <v>0</v>
      </c>
    </row>
    <row r="180" customFormat="false" ht="15" hidden="false" customHeight="false" outlineLevel="0" collapsed="false">
      <c r="A180" s="14" t="s">
        <v>583</v>
      </c>
      <c r="B180" s="15" t="s">
        <v>584</v>
      </c>
      <c r="C180" s="14" t="s">
        <v>133</v>
      </c>
      <c r="D180" s="14" t="s">
        <v>125</v>
      </c>
      <c r="E180" s="14" t="n">
        <v>14</v>
      </c>
      <c r="F180" s="16" t="n">
        <v>24</v>
      </c>
      <c r="G180" s="17" t="n">
        <v>101.8</v>
      </c>
      <c r="H180" s="18" t="n">
        <f aca="false">IF(ISNUMBER(G180),IFERROR(G180/F180,""),"")</f>
        <v>4.24166666666667</v>
      </c>
      <c r="I180" s="17" t="n">
        <v>10</v>
      </c>
      <c r="J180" s="17" t="n">
        <v>12.9</v>
      </c>
      <c r="K180" s="19" t="s">
        <v>64</v>
      </c>
      <c r="L180" s="20" t="n">
        <v>11.9</v>
      </c>
      <c r="M180" s="18" t="n">
        <f aca="false">IFERROR(L180*(1-Premissas!$B$5)*(1-Premissas!$B$6)-H180-Premissas!$B$7,"")</f>
        <v>5.95028333333333</v>
      </c>
      <c r="N180" s="21" t="n">
        <f aca="false">IFERROR(M180/L180,"")</f>
        <v>0.50002380952381</v>
      </c>
      <c r="O180" s="18" t="n">
        <f aca="false">IFERROR(L180*(1-Premissas!$B$8)-Premissas!$B$9-H180-Premissas!$B$7,"")</f>
        <v>-1.01966666666667</v>
      </c>
      <c r="P180" s="18" t="n">
        <f aca="false">IFERROR(L180*(1-Premissas!$B$10)-Premissas!$B$11-H180-Premissas!$B$7,"")</f>
        <v>0.278333333333335</v>
      </c>
      <c r="Q180" s="18" t="n">
        <f aca="false">IFERROR(M180*F180,"")</f>
        <v>142.8068</v>
      </c>
      <c r="R180" s="22" t="n">
        <f aca="false">IFERROR(IF(M180&gt;0,ROUNDUP(Premissas!$B$12/M180,0),"sem lucro"),"")</f>
        <v>169</v>
      </c>
      <c r="S180" s="15" t="s">
        <v>82</v>
      </c>
      <c r="T180" s="23" t="s">
        <v>76</v>
      </c>
      <c r="U180" s="15" t="s">
        <v>585</v>
      </c>
      <c r="V180" s="18" t="n">
        <f aca="false">IF(AND(T180="S",ISNUMBER(L180),ISNUMBER(F180)),L180*F180*X180,0)</f>
        <v>0</v>
      </c>
      <c r="W180" s="18" t="n">
        <f aca="false">IF(AND(T180="S",ISNUMBER(Q180)),Q180*X180,0)</f>
        <v>0</v>
      </c>
      <c r="X180" s="23" t="n">
        <v>1</v>
      </c>
      <c r="Y180" s="18" t="n">
        <f aca="false">IF(AND(T180="S",ISNUMBER(G180)),G180*X180,0)</f>
        <v>0</v>
      </c>
    </row>
    <row r="181" customFormat="false" ht="26.85" hidden="false" customHeight="false" outlineLevel="0" collapsed="false">
      <c r="A181" s="14" t="s">
        <v>586</v>
      </c>
      <c r="B181" s="15" t="s">
        <v>587</v>
      </c>
      <c r="C181" s="14" t="s">
        <v>133</v>
      </c>
      <c r="D181" s="14" t="s">
        <v>117</v>
      </c>
      <c r="E181" s="14" t="n">
        <v>14</v>
      </c>
      <c r="F181" s="16" t="n">
        <v>24</v>
      </c>
      <c r="G181" s="17" t="n">
        <v>151.2</v>
      </c>
      <c r="H181" s="18" t="n">
        <f aca="false">IF(ISNUMBER(G181),IFERROR(G181/F181,""),"")</f>
        <v>6.3</v>
      </c>
      <c r="I181" s="17" t="n">
        <v>10</v>
      </c>
      <c r="J181" s="17" t="n">
        <v>12.9</v>
      </c>
      <c r="K181" s="19" t="s">
        <v>64</v>
      </c>
      <c r="L181" s="20" t="n">
        <v>11.9</v>
      </c>
      <c r="M181" s="18" t="n">
        <f aca="false">IFERROR(L181*(1-Premissas!$B$5)*(1-Premissas!$B$6)-H181-Premissas!$B$7,"")</f>
        <v>3.89195</v>
      </c>
      <c r="N181" s="21" t="n">
        <f aca="false">IFERROR(M181/L181,"")</f>
        <v>0.32705462184874</v>
      </c>
      <c r="O181" s="18" t="n">
        <f aca="false">IFERROR(L181*(1-Premissas!$B$8)-Premissas!$B$9-H181-Premissas!$B$7,"")</f>
        <v>-3.078</v>
      </c>
      <c r="P181" s="18" t="n">
        <f aca="false">IFERROR(L181*(1-Premissas!$B$10)-Premissas!$B$11-H181-Premissas!$B$7,"")</f>
        <v>-1.78</v>
      </c>
      <c r="Q181" s="18" t="n">
        <f aca="false">IFERROR(M181*F181,"")</f>
        <v>93.4068</v>
      </c>
      <c r="R181" s="22" t="n">
        <f aca="false">IFERROR(IF(M181&gt;0,ROUNDUP(Premissas!$B$12/M181,0),"sem lucro"),"")</f>
        <v>257</v>
      </c>
      <c r="S181" s="15" t="s">
        <v>252</v>
      </c>
      <c r="T181" s="23" t="s">
        <v>76</v>
      </c>
      <c r="U181" s="15" t="s">
        <v>588</v>
      </c>
      <c r="V181" s="18" t="n">
        <f aca="false">IF(AND(T181="S",ISNUMBER(L181),ISNUMBER(F181)),L181*F181*X181,0)</f>
        <v>0</v>
      </c>
      <c r="W181" s="18" t="n">
        <f aca="false">IF(AND(T181="S",ISNUMBER(Q181)),Q181*X181,0)</f>
        <v>0</v>
      </c>
      <c r="X181" s="23" t="n">
        <v>1</v>
      </c>
      <c r="Y181" s="18" t="n">
        <f aca="false">IF(AND(T181="S",ISNUMBER(G181)),G181*X181,0)</f>
        <v>0</v>
      </c>
    </row>
    <row r="182" customFormat="false" ht="15" hidden="false" customHeight="false" outlineLevel="0" collapsed="false">
      <c r="A182" s="14" t="s">
        <v>589</v>
      </c>
      <c r="B182" s="15" t="s">
        <v>590</v>
      </c>
      <c r="C182" s="14" t="s">
        <v>133</v>
      </c>
      <c r="D182" s="14" t="s">
        <v>63</v>
      </c>
      <c r="E182" s="14" t="n">
        <v>14</v>
      </c>
      <c r="F182" s="16" t="n">
        <v>24</v>
      </c>
      <c r="G182" s="17" t="n">
        <v>152.99</v>
      </c>
      <c r="H182" s="18" t="n">
        <f aca="false">IF(ISNUMBER(G182),IFERROR(G182/F182,""),"")</f>
        <v>6.37458333333333</v>
      </c>
      <c r="I182" s="17" t="n">
        <v>12.9</v>
      </c>
      <c r="J182" s="17" t="n">
        <v>14.9</v>
      </c>
      <c r="K182" s="19" t="s">
        <v>64</v>
      </c>
      <c r="L182" s="20" t="n">
        <v>13.9</v>
      </c>
      <c r="M182" s="18" t="n">
        <f aca="false">IFERROR(L182*(1-Premissas!$B$5)*(1-Premissas!$B$6)-H182-Premissas!$B$7,"")</f>
        <v>5.69836666666667</v>
      </c>
      <c r="N182" s="21" t="n">
        <f aca="false">IFERROR(M182/L182,"")</f>
        <v>0.409954436450839</v>
      </c>
      <c r="O182" s="18" t="n">
        <f aca="false">IFERROR(L182*(1-Premissas!$B$8)-Premissas!$B$9-H182-Premissas!$B$7,"")</f>
        <v>-1.39258333333333</v>
      </c>
      <c r="P182" s="18" t="n">
        <f aca="false">IFERROR(L182*(1-Premissas!$B$10)-Premissas!$B$11-H182-Premissas!$B$7,"")</f>
        <v>-0.254583333333333</v>
      </c>
      <c r="Q182" s="18" t="n">
        <f aca="false">IFERROR(M182*F182,"")</f>
        <v>136.7608</v>
      </c>
      <c r="R182" s="22" t="n">
        <f aca="false">IFERROR(IF(M182&gt;0,ROUNDUP(Premissas!$B$12/M182,0),"sem lucro"),"")</f>
        <v>176</v>
      </c>
      <c r="S182" s="15" t="s">
        <v>82</v>
      </c>
      <c r="T182" s="23" t="s">
        <v>76</v>
      </c>
      <c r="U182" s="15"/>
      <c r="V182" s="18" t="n">
        <f aca="false">IF(AND(T182="S",ISNUMBER(L182),ISNUMBER(F182)),L182*F182*X182,0)</f>
        <v>0</v>
      </c>
      <c r="W182" s="18" t="n">
        <f aca="false">IF(AND(T182="S",ISNUMBER(Q182)),Q182*X182,0)</f>
        <v>0</v>
      </c>
      <c r="X182" s="23" t="n">
        <v>1</v>
      </c>
      <c r="Y182" s="18" t="n">
        <f aca="false">IF(AND(T182="S",ISNUMBER(G182)),G182*X182,0)</f>
        <v>0</v>
      </c>
    </row>
    <row r="183" customFormat="false" ht="15" hidden="false" customHeight="false" outlineLevel="0" collapsed="false">
      <c r="A183" s="14" t="s">
        <v>591</v>
      </c>
      <c r="B183" s="15" t="s">
        <v>592</v>
      </c>
      <c r="C183" s="14" t="s">
        <v>133</v>
      </c>
      <c r="D183" s="14" t="s">
        <v>117</v>
      </c>
      <c r="E183" s="14" t="n">
        <v>14</v>
      </c>
      <c r="F183" s="16" t="n">
        <v>24</v>
      </c>
      <c r="G183" s="17" t="n">
        <v>145.5</v>
      </c>
      <c r="H183" s="18" t="n">
        <f aca="false">IF(ISNUMBER(G183),IFERROR(G183/F183,""),"")</f>
        <v>6.0625</v>
      </c>
      <c r="I183" s="17" t="n">
        <v>10</v>
      </c>
      <c r="J183" s="17" t="n">
        <v>12.9</v>
      </c>
      <c r="K183" s="19" t="s">
        <v>64</v>
      </c>
      <c r="L183" s="20" t="n">
        <v>11.9</v>
      </c>
      <c r="M183" s="18" t="n">
        <f aca="false">IFERROR(L183*(1-Premissas!$B$5)*(1-Premissas!$B$6)-H183-Premissas!$B$7,"")</f>
        <v>4.12945</v>
      </c>
      <c r="N183" s="21" t="n">
        <f aca="false">IFERROR(M183/L183,"")</f>
        <v>0.347012605042017</v>
      </c>
      <c r="O183" s="18" t="n">
        <f aca="false">IFERROR(L183*(1-Premissas!$B$8)-Premissas!$B$9-H183-Premissas!$B$7,"")</f>
        <v>-2.8405</v>
      </c>
      <c r="P183" s="18" t="n">
        <f aca="false">IFERROR(L183*(1-Premissas!$B$10)-Premissas!$B$11-H183-Premissas!$B$7,"")</f>
        <v>-1.5425</v>
      </c>
      <c r="Q183" s="18" t="n">
        <f aca="false">IFERROR(M183*F183,"")</f>
        <v>99.1068</v>
      </c>
      <c r="R183" s="22" t="n">
        <f aca="false">IFERROR(IF(M183&gt;0,ROUNDUP(Premissas!$B$12/M183,0),"sem lucro"),"")</f>
        <v>243</v>
      </c>
      <c r="S183" s="15" t="s">
        <v>252</v>
      </c>
      <c r="T183" s="23" t="s">
        <v>76</v>
      </c>
      <c r="U183" s="15"/>
      <c r="V183" s="18" t="n">
        <f aca="false">IF(AND(T183="S",ISNUMBER(L183),ISNUMBER(F183)),L183*F183*X183,0)</f>
        <v>0</v>
      </c>
      <c r="W183" s="18" t="n">
        <f aca="false">IF(AND(T183="S",ISNUMBER(Q183)),Q183*X183,0)</f>
        <v>0</v>
      </c>
      <c r="X183" s="23" t="n">
        <v>1</v>
      </c>
      <c r="Y183" s="18" t="n">
        <f aca="false">IF(AND(T183="S",ISNUMBER(G183)),G183*X183,0)</f>
        <v>0</v>
      </c>
    </row>
    <row r="184" customFormat="false" ht="15" hidden="false" customHeight="false" outlineLevel="0" collapsed="false">
      <c r="A184" s="14" t="s">
        <v>593</v>
      </c>
      <c r="B184" s="15" t="s">
        <v>594</v>
      </c>
      <c r="C184" s="14" t="s">
        <v>133</v>
      </c>
      <c r="D184" s="14" t="s">
        <v>117</v>
      </c>
      <c r="E184" s="14" t="n">
        <v>14</v>
      </c>
      <c r="F184" s="16" t="n">
        <v>24</v>
      </c>
      <c r="G184" s="17" t="n">
        <v>154.3</v>
      </c>
      <c r="H184" s="18" t="n">
        <f aca="false">IF(ISNUMBER(G184),IFERROR(G184/F184,""),"")</f>
        <v>6.42916666666667</v>
      </c>
      <c r="I184" s="17" t="n">
        <v>10</v>
      </c>
      <c r="J184" s="17" t="n">
        <v>12.9</v>
      </c>
      <c r="K184" s="19" t="s">
        <v>64</v>
      </c>
      <c r="L184" s="20" t="n">
        <v>11.9</v>
      </c>
      <c r="M184" s="18" t="n">
        <f aca="false">IFERROR(L184*(1-Premissas!$B$5)*(1-Premissas!$B$6)-H184-Premissas!$B$7,"")</f>
        <v>3.76278333333333</v>
      </c>
      <c r="N184" s="21" t="n">
        <f aca="false">IFERROR(M184/L184,"")</f>
        <v>0.316200280112045</v>
      </c>
      <c r="O184" s="18" t="n">
        <f aca="false">IFERROR(L184*(1-Premissas!$B$8)-Premissas!$B$9-H184-Premissas!$B$7,"")</f>
        <v>-3.20716666666667</v>
      </c>
      <c r="P184" s="18" t="n">
        <f aca="false">IFERROR(L184*(1-Premissas!$B$10)-Premissas!$B$11-H184-Premissas!$B$7,"")</f>
        <v>-1.90916666666667</v>
      </c>
      <c r="Q184" s="18" t="n">
        <f aca="false">IFERROR(M184*F184,"")</f>
        <v>90.3068</v>
      </c>
      <c r="R184" s="22" t="n">
        <f aca="false">IFERROR(IF(M184&gt;0,ROUNDUP(Premissas!$B$12/M184,0),"sem lucro"),"")</f>
        <v>266</v>
      </c>
      <c r="S184" s="15" t="s">
        <v>252</v>
      </c>
      <c r="T184" s="23" t="s">
        <v>76</v>
      </c>
      <c r="U184" s="15"/>
      <c r="V184" s="18" t="n">
        <f aca="false">IF(AND(T184="S",ISNUMBER(L184),ISNUMBER(F184)),L184*F184*X184,0)</f>
        <v>0</v>
      </c>
      <c r="W184" s="18" t="n">
        <f aca="false">IF(AND(T184="S",ISNUMBER(Q184)),Q184*X184,0)</f>
        <v>0</v>
      </c>
      <c r="X184" s="23" t="n">
        <v>1</v>
      </c>
      <c r="Y184" s="18" t="n">
        <f aca="false">IF(AND(T184="S",ISNUMBER(G184)),G184*X184,0)</f>
        <v>0</v>
      </c>
    </row>
    <row r="185" customFormat="false" ht="15" hidden="false" customHeight="false" outlineLevel="0" collapsed="false">
      <c r="A185" s="14" t="s">
        <v>595</v>
      </c>
      <c r="B185" s="15" t="s">
        <v>596</v>
      </c>
      <c r="C185" s="14" t="s">
        <v>133</v>
      </c>
      <c r="D185" s="14" t="s">
        <v>117</v>
      </c>
      <c r="E185" s="14" t="n">
        <v>14</v>
      </c>
      <c r="F185" s="16" t="n">
        <v>24</v>
      </c>
      <c r="G185" s="17" t="n">
        <v>145.5</v>
      </c>
      <c r="H185" s="18" t="n">
        <f aca="false">IF(ISNUMBER(G185),IFERROR(G185/F185,""),"")</f>
        <v>6.0625</v>
      </c>
      <c r="I185" s="17" t="n">
        <v>9</v>
      </c>
      <c r="J185" s="17" t="n">
        <v>10</v>
      </c>
      <c r="K185" s="19" t="s">
        <v>64</v>
      </c>
      <c r="L185" s="20" t="n">
        <v>9.9</v>
      </c>
      <c r="M185" s="18" t="n">
        <f aca="false">IFERROR(L185*(1-Premissas!$B$5)*(1-Premissas!$B$6)-H185-Premissas!$B$7,"")</f>
        <v>2.24845</v>
      </c>
      <c r="N185" s="21" t="n">
        <f aca="false">IFERROR(M185/L185,"")</f>
        <v>0.227116161616162</v>
      </c>
      <c r="O185" s="18" t="n">
        <f aca="false">IFERROR(L185*(1-Premissas!$B$8)-Premissas!$B$9-H185-Premissas!$B$7,"")</f>
        <v>-4.6005</v>
      </c>
      <c r="P185" s="18" t="n">
        <f aca="false">IFERROR(L185*(1-Premissas!$B$10)-Premissas!$B$11-H185-Premissas!$B$7,"")</f>
        <v>-3.1425</v>
      </c>
      <c r="Q185" s="18" t="n">
        <f aca="false">IFERROR(M185*F185,"")</f>
        <v>53.9628</v>
      </c>
      <c r="R185" s="22" t="n">
        <f aca="false">IFERROR(IF(M185&gt;0,ROUNDUP(Premissas!$B$12/M185,0),"sem lucro"),"")</f>
        <v>445</v>
      </c>
      <c r="S185" s="15" t="s">
        <v>403</v>
      </c>
      <c r="T185" s="23" t="s">
        <v>76</v>
      </c>
      <c r="U185" s="15"/>
      <c r="V185" s="18" t="n">
        <f aca="false">IF(AND(T185="S",ISNUMBER(L185),ISNUMBER(F185)),L185*F185*X185,0)</f>
        <v>0</v>
      </c>
      <c r="W185" s="18" t="n">
        <f aca="false">IF(AND(T185="S",ISNUMBER(Q185)),Q185*X185,0)</f>
        <v>0</v>
      </c>
      <c r="X185" s="23" t="n">
        <v>1</v>
      </c>
      <c r="Y185" s="18" t="n">
        <f aca="false">IF(AND(T185="S",ISNUMBER(G185)),G185*X185,0)</f>
        <v>0</v>
      </c>
    </row>
  </sheetData>
  <autoFilter ref="A1:Y185"/>
  <conditionalFormatting sqref="M2:M185">
    <cfRule type="cellIs" priority="2" operator="lessThan" aboveAverage="0" equalAverage="0" bottom="0" percent="0" rank="0" text="" dxfId="87">
      <formula>0</formula>
    </cfRule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O2:O185">
    <cfRule type="cellIs" priority="4" operator="lessThan" aboveAverage="0" equalAverage="0" bottom="0" percent="0" rank="0" text="" dxfId="87">
      <formula>0</formula>
    </cfRule>
  </conditionalFormatting>
  <conditionalFormatting sqref="P2:P185">
    <cfRule type="cellIs" priority="5" operator="lessThan" aboveAverage="0" equalAverage="0" bottom="0" percent="0" rank="0" text="" dxfId="87">
      <formula>0</formula>
    </cfRule>
  </conditionalFormatting>
  <dataValidations count="1">
    <dataValidation allowBlank="true" errorStyle="stop" operator="between" showDropDown="false" showErrorMessage="false" showInputMessage="false" sqref="T2:T185" type="list">
      <formula1>"S,N"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2" min="2" style="0" width="13"/>
  </cols>
  <sheetData>
    <row r="1" customFormat="false" ht="36" hidden="false" customHeight="true" outlineLevel="0" collapsed="false">
      <c r="A1" s="13" t="s">
        <v>597</v>
      </c>
      <c r="B1" s="13" t="s">
        <v>598</v>
      </c>
      <c r="C1" s="13" t="s">
        <v>599</v>
      </c>
      <c r="D1" s="13" t="s">
        <v>600</v>
      </c>
      <c r="E1" s="13" t="s">
        <v>601</v>
      </c>
      <c r="F1" s="13" t="s">
        <v>602</v>
      </c>
      <c r="G1" s="13" t="s">
        <v>603</v>
      </c>
      <c r="H1" s="13" t="s">
        <v>604</v>
      </c>
      <c r="I1" s="13" t="s">
        <v>605</v>
      </c>
      <c r="J1" s="13" t="s">
        <v>606</v>
      </c>
      <c r="K1" s="13" t="s">
        <v>607</v>
      </c>
      <c r="L1" s="13" t="s">
        <v>608</v>
      </c>
    </row>
    <row r="2" customFormat="false" ht="15" hidden="false" customHeight="false" outlineLevel="0" collapsed="false">
      <c r="A2" s="24" t="s">
        <v>609</v>
      </c>
      <c r="B2" s="25" t="s">
        <v>131</v>
      </c>
      <c r="C2" s="25" t="s">
        <v>137</v>
      </c>
      <c r="D2" s="25" t="s">
        <v>135</v>
      </c>
      <c r="E2" s="26"/>
      <c r="F2" s="26"/>
      <c r="G2" s="27" t="n">
        <f aca="false">IFERROR(INDEX(Produtos!$H$2:$H$185,MATCH(B2,Produtos!$A$2:$A$185,0)),0)+IFERROR(INDEX(Produtos!$H$2:$H$185,MATCH(C2,Produtos!$A$2:$A$185,0)),0)+IFERROR(INDEX(Produtos!$H$2:$H$185,MATCH(D2,Produtos!$A$2:$A$185,0)),0)+IFERROR(INDEX(Produtos!$H$2:$H$185,MATCH(E2,Produtos!$A$2:$A$185,0)),0)+IFERROR(INDEX(Produtos!$H$2:$H$185,MATCH(F2,Produtos!$A$2:$A$185,0)),0)</f>
        <v>18.9</v>
      </c>
      <c r="H2" s="28" t="n">
        <v>49.9</v>
      </c>
      <c r="I2" s="27" t="n">
        <f aca="false">H2*(1-Premissas!$B$5)*(1-Premissas!$B$6)-G2-Premissas!$B$7</f>
        <v>27.03095</v>
      </c>
      <c r="J2" s="27" t="n">
        <f aca="false">H2*(1-Premissas!$B$8)-Premissas!$B$9-G2-Premissas!$B$7</f>
        <v>17.762</v>
      </c>
      <c r="K2" s="27" t="n">
        <f aca="false">H2*(1-Premissas!$B$10)-Premissas!$B$11-G2-Premissas!$B$7</f>
        <v>16.02</v>
      </c>
      <c r="L2" s="29" t="n">
        <f aca="false">IF(I2&gt;0,ROUNDUP(Premissas!$B$12/I2,0),"sem lucro")</f>
        <v>37</v>
      </c>
    </row>
    <row r="3" customFormat="false" ht="15" hidden="false" customHeight="false" outlineLevel="0" collapsed="false">
      <c r="A3" s="24" t="s">
        <v>610</v>
      </c>
      <c r="B3" s="25" t="s">
        <v>68</v>
      </c>
      <c r="C3" s="25" t="s">
        <v>83</v>
      </c>
      <c r="D3" s="25" t="s">
        <v>85</v>
      </c>
      <c r="E3" s="25" t="s">
        <v>172</v>
      </c>
      <c r="F3" s="26"/>
      <c r="G3" s="27" t="n">
        <f aca="false">IFERROR(INDEX(Produtos!$H$2:$H$185,MATCH(B3,Produtos!$A$2:$A$185,0)),0)+IFERROR(INDEX(Produtos!$H$2:$H$185,MATCH(C3,Produtos!$A$2:$A$185,0)),0)+IFERROR(INDEX(Produtos!$H$2:$H$185,MATCH(D3,Produtos!$A$2:$A$185,0)),0)+IFERROR(INDEX(Produtos!$H$2:$H$185,MATCH(E3,Produtos!$A$2:$A$185,0)),0)+IFERROR(INDEX(Produtos!$H$2:$H$185,MATCH(F3,Produtos!$A$2:$A$185,0)),0)</f>
        <v>23.5958333333333</v>
      </c>
      <c r="H3" s="28" t="n">
        <v>49.9</v>
      </c>
      <c r="I3" s="27" t="n">
        <f aca="false">H3*(1-Premissas!$B$5)*(1-Premissas!$B$6)-G3-Premissas!$B$7</f>
        <v>22.3351166666667</v>
      </c>
      <c r="J3" s="27" t="n">
        <f aca="false">H3*(1-Premissas!$B$8)-Premissas!$B$9-G3-Premissas!$B$7</f>
        <v>13.0661666666667</v>
      </c>
      <c r="K3" s="27" t="n">
        <f aca="false">H3*(1-Premissas!$B$10)-Premissas!$B$11-G3-Premissas!$B$7</f>
        <v>11.3241666666667</v>
      </c>
      <c r="L3" s="29" t="n">
        <f aca="false">IF(I3&gt;0,ROUNDUP(Premissas!$B$12/I3,0),"sem lucro")</f>
        <v>45</v>
      </c>
    </row>
    <row r="4" customFormat="false" ht="15" hidden="false" customHeight="false" outlineLevel="0" collapsed="false">
      <c r="A4" s="24" t="s">
        <v>611</v>
      </c>
      <c r="B4" s="25" t="s">
        <v>90</v>
      </c>
      <c r="C4" s="25" t="s">
        <v>94</v>
      </c>
      <c r="D4" s="25" t="s">
        <v>98</v>
      </c>
      <c r="E4" s="26"/>
      <c r="F4" s="26"/>
      <c r="G4" s="27" t="n">
        <f aca="false">IFERROR(INDEX(Produtos!$H$2:$H$185,MATCH(B4,Produtos!$A$2:$A$185,0)),0)+IFERROR(INDEX(Produtos!$H$2:$H$185,MATCH(C4,Produtos!$A$2:$A$185,0)),0)+IFERROR(INDEX(Produtos!$H$2:$H$185,MATCH(D4,Produtos!$A$2:$A$185,0)),0)+IFERROR(INDEX(Produtos!$H$2:$H$185,MATCH(E4,Produtos!$A$2:$A$185,0)),0)+IFERROR(INDEX(Produtos!$H$2:$H$185,MATCH(F4,Produtos!$A$2:$A$185,0)),0)</f>
        <v>17.1</v>
      </c>
      <c r="H4" s="28" t="n">
        <v>39.9</v>
      </c>
      <c r="I4" s="27" t="n">
        <f aca="false">H4*(1-Premissas!$B$5)*(1-Premissas!$B$6)-G4-Premissas!$B$7</f>
        <v>19.42595</v>
      </c>
      <c r="J4" s="27" t="n">
        <f aca="false">H4*(1-Premissas!$B$8)-Premissas!$B$9-G4-Premissas!$B$7</f>
        <v>10.762</v>
      </c>
      <c r="K4" s="27" t="n">
        <f aca="false">H4*(1-Premissas!$B$10)-Premissas!$B$11-G4-Premissas!$B$7</f>
        <v>9.82</v>
      </c>
      <c r="L4" s="29" t="n">
        <f aca="false">IF(I4&gt;0,ROUNDUP(Premissas!$B$12/I4,0),"sem lucro")</f>
        <v>52</v>
      </c>
    </row>
    <row r="5" customFormat="false" ht="15" hidden="false" customHeight="false" outlineLevel="0" collapsed="false">
      <c r="A5" s="24" t="s">
        <v>612</v>
      </c>
      <c r="B5" s="25" t="s">
        <v>127</v>
      </c>
      <c r="C5" s="25" t="s">
        <v>127</v>
      </c>
      <c r="D5" s="25" t="s">
        <v>127</v>
      </c>
      <c r="E5" s="25" t="s">
        <v>373</v>
      </c>
      <c r="F5" s="25" t="s">
        <v>154</v>
      </c>
      <c r="G5" s="27" t="n">
        <f aca="false">IFERROR(INDEX(Produtos!$H$2:$H$185,MATCH(B5,Produtos!$A$2:$A$185,0)),0)+IFERROR(INDEX(Produtos!$H$2:$H$185,MATCH(C5,Produtos!$A$2:$A$185,0)),0)+IFERROR(INDEX(Produtos!$H$2:$H$185,MATCH(D5,Produtos!$A$2:$A$185,0)),0)+IFERROR(INDEX(Produtos!$H$2:$H$185,MATCH(E5,Produtos!$A$2:$A$185,0)),0)+IFERROR(INDEX(Produtos!$H$2:$H$185,MATCH(F5,Produtos!$A$2:$A$185,0)),0)</f>
        <v>21.1108333333333</v>
      </c>
      <c r="H5" s="28" t="n">
        <v>44.9</v>
      </c>
      <c r="I5" s="27" t="n">
        <f aca="false">H5*(1-Premissas!$B$5)*(1-Premissas!$B$6)-G5-Premissas!$B$7</f>
        <v>20.1176166666667</v>
      </c>
      <c r="J5" s="27" t="n">
        <f aca="false">H5*(1-Premissas!$B$8)-Premissas!$B$9-G5-Premissas!$B$7</f>
        <v>11.1511666666667</v>
      </c>
      <c r="K5" s="27" t="n">
        <f aca="false">H5*(1-Premissas!$B$10)-Premissas!$B$11-G5-Premissas!$B$7</f>
        <v>9.80916666666667</v>
      </c>
      <c r="L5" s="29" t="n">
        <f aca="false">IF(I5&gt;0,ROUNDUP(Premissas!$B$12/I5,0),"sem lucro")</f>
        <v>50</v>
      </c>
    </row>
    <row r="6" customFormat="false" ht="15" hidden="false" customHeight="false" outlineLevel="0" collapsed="false">
      <c r="A6" s="24" t="s">
        <v>613</v>
      </c>
      <c r="B6" s="25" t="s">
        <v>176</v>
      </c>
      <c r="C6" s="25" t="s">
        <v>180</v>
      </c>
      <c r="D6" s="25" t="s">
        <v>154</v>
      </c>
      <c r="E6" s="25" t="s">
        <v>542</v>
      </c>
      <c r="F6" s="26"/>
      <c r="G6" s="27" t="n">
        <f aca="false">IFERROR(INDEX(Produtos!$H$2:$H$185,MATCH(B6,Produtos!$A$2:$A$185,0)),0)+IFERROR(INDEX(Produtos!$H$2:$H$185,MATCH(C6,Produtos!$A$2:$A$185,0)),0)+IFERROR(INDEX(Produtos!$H$2:$H$185,MATCH(D6,Produtos!$A$2:$A$185,0)),0)+IFERROR(INDEX(Produtos!$H$2:$H$185,MATCH(E6,Produtos!$A$2:$A$185,0)),0)+IFERROR(INDEX(Produtos!$H$2:$H$185,MATCH(F6,Produtos!$A$2:$A$185,0)),0)</f>
        <v>21.64</v>
      </c>
      <c r="H6" s="28" t="n">
        <v>44.9</v>
      </c>
      <c r="I6" s="27" t="n">
        <f aca="false">H6*(1-Premissas!$B$5)*(1-Premissas!$B$6)-G6-Premissas!$B$7</f>
        <v>19.58845</v>
      </c>
      <c r="J6" s="27" t="n">
        <f aca="false">H6*(1-Premissas!$B$8)-Premissas!$B$9-G6-Premissas!$B$7</f>
        <v>10.622</v>
      </c>
      <c r="K6" s="27" t="n">
        <f aca="false">H6*(1-Premissas!$B$10)-Premissas!$B$11-G6-Premissas!$B$7</f>
        <v>9.28</v>
      </c>
      <c r="L6" s="29" t="n">
        <f aca="false">IF(I6&gt;0,ROUNDUP(Premissas!$B$12/I6,0),"sem lucro")</f>
        <v>52</v>
      </c>
    </row>
    <row r="7" customFormat="false" ht="15" hidden="false" customHeight="false" outlineLevel="0" collapsed="false">
      <c r="A7" s="24" t="s">
        <v>614</v>
      </c>
      <c r="B7" s="25" t="s">
        <v>146</v>
      </c>
      <c r="C7" s="25" t="s">
        <v>149</v>
      </c>
      <c r="D7" s="25" t="s">
        <v>143</v>
      </c>
      <c r="E7" s="26"/>
      <c r="F7" s="26"/>
      <c r="G7" s="27" t="n">
        <f aca="false">IFERROR(INDEX(Produtos!$H$2:$H$185,MATCH(B7,Produtos!$A$2:$A$185,0)),0)+IFERROR(INDEX(Produtos!$H$2:$H$185,MATCH(C7,Produtos!$A$2:$A$185,0)),0)+IFERROR(INDEX(Produtos!$H$2:$H$185,MATCH(D7,Produtos!$A$2:$A$185,0)),0)+IFERROR(INDEX(Produtos!$H$2:$H$185,MATCH(E7,Produtos!$A$2:$A$185,0)),0)+IFERROR(INDEX(Produtos!$H$2:$H$185,MATCH(F7,Produtos!$A$2:$A$185,0)),0)</f>
        <v>17.0166666666667</v>
      </c>
      <c r="H7" s="28" t="n">
        <v>34.9</v>
      </c>
      <c r="I7" s="27" t="n">
        <f aca="false">H7*(1-Premissas!$B$5)*(1-Premissas!$B$6)-G7-Premissas!$B$7</f>
        <v>14.8067833333333</v>
      </c>
      <c r="J7" s="27" t="n">
        <f aca="false">H7*(1-Premissas!$B$8)-Premissas!$B$9-G7-Premissas!$B$7</f>
        <v>6.44533333333333</v>
      </c>
      <c r="K7" s="27" t="n">
        <f aca="false">H7*(1-Premissas!$B$10)-Premissas!$B$11-G7-Premissas!$B$7</f>
        <v>5.90333333333334</v>
      </c>
      <c r="L7" s="29" t="n">
        <f aca="false">IF(I7&gt;0,ROUNDUP(Premissas!$B$12/I7,0),"sem lucro")</f>
        <v>68</v>
      </c>
    </row>
    <row r="8" customFormat="false" ht="15" hidden="false" customHeight="false" outlineLevel="0" collapsed="false">
      <c r="A8" s="24" t="s">
        <v>615</v>
      </c>
      <c r="B8" s="25" t="s">
        <v>221</v>
      </c>
      <c r="C8" s="25" t="s">
        <v>229</v>
      </c>
      <c r="D8" s="26"/>
      <c r="E8" s="26"/>
      <c r="F8" s="26"/>
      <c r="G8" s="27" t="n">
        <f aca="false">IFERROR(INDEX(Produtos!$H$2:$H$185,MATCH(B8,Produtos!$A$2:$A$185,0)),0)+IFERROR(INDEX(Produtos!$H$2:$H$185,MATCH(C8,Produtos!$A$2:$A$185,0)),0)+IFERROR(INDEX(Produtos!$H$2:$H$185,MATCH(D8,Produtos!$A$2:$A$185,0)),0)+IFERROR(INDEX(Produtos!$H$2:$H$185,MATCH(E8,Produtos!$A$2:$A$185,0)),0)+IFERROR(INDEX(Produtos!$H$2:$H$185,MATCH(F8,Produtos!$A$2:$A$185,0)),0)</f>
        <v>13.4</v>
      </c>
      <c r="H8" s="28" t="n">
        <v>44.9</v>
      </c>
      <c r="I8" s="27" t="n">
        <f aca="false">H8*(1-Premissas!$B$5)*(1-Premissas!$B$6)-G8-Premissas!$B$7</f>
        <v>27.82845</v>
      </c>
      <c r="J8" s="27" t="n">
        <f aca="false">H8*(1-Premissas!$B$8)-Premissas!$B$9-G8-Premissas!$B$7</f>
        <v>18.862</v>
      </c>
      <c r="K8" s="27" t="n">
        <f aca="false">H8*(1-Premissas!$B$10)-Premissas!$B$11-G8-Premissas!$B$7</f>
        <v>17.52</v>
      </c>
      <c r="L8" s="29" t="n">
        <f aca="false">IF(I8&gt;0,ROUNDUP(Premissas!$B$12/I8,0),"sem lucro")</f>
        <v>36</v>
      </c>
    </row>
    <row r="9" customFormat="false" ht="15" hidden="false" customHeight="false" outlineLevel="0" collapsed="false">
      <c r="A9" s="24" t="s">
        <v>616</v>
      </c>
      <c r="B9" s="25" t="s">
        <v>226</v>
      </c>
      <c r="C9" s="25" t="s">
        <v>226</v>
      </c>
      <c r="D9" s="26"/>
      <c r="E9" s="26"/>
      <c r="F9" s="26"/>
      <c r="G9" s="27" t="n">
        <f aca="false">IFERROR(INDEX(Produtos!$H$2:$H$185,MATCH(B9,Produtos!$A$2:$A$185,0)),0)+IFERROR(INDEX(Produtos!$H$2:$H$185,MATCH(C9,Produtos!$A$2:$A$185,0)),0)+IFERROR(INDEX(Produtos!$H$2:$H$185,MATCH(D9,Produtos!$A$2:$A$185,0)),0)+IFERROR(INDEX(Produtos!$H$2:$H$185,MATCH(E9,Produtos!$A$2:$A$185,0)),0)+IFERROR(INDEX(Produtos!$H$2:$H$185,MATCH(F9,Produtos!$A$2:$A$185,0)),0)</f>
        <v>13.6</v>
      </c>
      <c r="H9" s="28" t="n">
        <v>44.9</v>
      </c>
      <c r="I9" s="27" t="n">
        <f aca="false">H9*(1-Premissas!$B$5)*(1-Premissas!$B$6)-G9-Premissas!$B$7</f>
        <v>27.62845</v>
      </c>
      <c r="J9" s="27" t="n">
        <f aca="false">H9*(1-Premissas!$B$8)-Premissas!$B$9-G9-Premissas!$B$7</f>
        <v>18.662</v>
      </c>
      <c r="K9" s="27" t="n">
        <f aca="false">H9*(1-Premissas!$B$10)-Premissas!$B$11-G9-Premissas!$B$7</f>
        <v>17.32</v>
      </c>
      <c r="L9" s="29" t="n">
        <f aca="false">IF(I9&gt;0,ROUNDUP(Premissas!$B$12/I9,0),"sem lucro")</f>
        <v>37</v>
      </c>
    </row>
    <row r="10" customFormat="false" ht="15" hidden="false" customHeight="false" outlineLevel="0" collapsed="false">
      <c r="A10" s="24" t="s">
        <v>617</v>
      </c>
      <c r="B10" s="25" t="s">
        <v>282</v>
      </c>
      <c r="C10" s="25" t="s">
        <v>275</v>
      </c>
      <c r="D10" s="25" t="s">
        <v>268</v>
      </c>
      <c r="E10" s="25" t="s">
        <v>241</v>
      </c>
      <c r="F10" s="26"/>
      <c r="G10" s="27" t="n">
        <f aca="false">IFERROR(INDEX(Produtos!$H$2:$H$185,MATCH(B10,Produtos!$A$2:$A$185,0)),0)+IFERROR(INDEX(Produtos!$H$2:$H$185,MATCH(C10,Produtos!$A$2:$A$185,0)),0)+IFERROR(INDEX(Produtos!$H$2:$H$185,MATCH(D10,Produtos!$A$2:$A$185,0)),0)+IFERROR(INDEX(Produtos!$H$2:$H$185,MATCH(E10,Produtos!$A$2:$A$185,0)),0)+IFERROR(INDEX(Produtos!$H$2:$H$185,MATCH(F10,Produtos!$A$2:$A$185,0)),0)</f>
        <v>22.533125</v>
      </c>
      <c r="H10" s="28" t="n">
        <v>59.9</v>
      </c>
      <c r="I10" s="27" t="n">
        <f aca="false">H10*(1-Premissas!$B$5)*(1-Premissas!$B$6)-G10-Premissas!$B$7</f>
        <v>32.802825</v>
      </c>
      <c r="J10" s="27" t="n">
        <f aca="false">H10*(1-Premissas!$B$8)-Premissas!$B$9-G10-Premissas!$B$7</f>
        <v>22.928875</v>
      </c>
      <c r="K10" s="27" t="n">
        <f aca="false">H10*(1-Premissas!$B$10)-Premissas!$B$11-G10-Premissas!$B$7</f>
        <v>20.386875</v>
      </c>
      <c r="L10" s="29" t="n">
        <f aca="false">IF(I10&gt;0,ROUNDUP(Premissas!$B$12/I10,0),"sem lucro")</f>
        <v>31</v>
      </c>
    </row>
    <row r="11" customFormat="false" ht="15" hidden="false" customHeight="false" outlineLevel="0" collapsed="false">
      <c r="A11" s="24" t="s">
        <v>618</v>
      </c>
      <c r="B11" s="25" t="s">
        <v>330</v>
      </c>
      <c r="C11" s="25" t="s">
        <v>268</v>
      </c>
      <c r="D11" s="25" t="s">
        <v>338</v>
      </c>
      <c r="E11" s="25" t="s">
        <v>241</v>
      </c>
      <c r="F11" s="26"/>
      <c r="G11" s="27" t="n">
        <f aca="false">IFERROR(INDEX(Produtos!$H$2:$H$185,MATCH(B11,Produtos!$A$2:$A$185,0)),0)+IFERROR(INDEX(Produtos!$H$2:$H$185,MATCH(C11,Produtos!$A$2:$A$185,0)),0)+IFERROR(INDEX(Produtos!$H$2:$H$185,MATCH(D11,Produtos!$A$2:$A$185,0)),0)+IFERROR(INDEX(Produtos!$H$2:$H$185,MATCH(E11,Produtos!$A$2:$A$185,0)),0)+IFERROR(INDEX(Produtos!$H$2:$H$185,MATCH(F11,Produtos!$A$2:$A$185,0)),0)</f>
        <v>15.4639583333333</v>
      </c>
      <c r="H11" s="28" t="n">
        <v>49.9</v>
      </c>
      <c r="I11" s="27" t="n">
        <f aca="false">H11*(1-Premissas!$B$5)*(1-Premissas!$B$6)-G11-Premissas!$B$7</f>
        <v>30.4669916666667</v>
      </c>
      <c r="J11" s="27" t="n">
        <f aca="false">H11*(1-Premissas!$B$8)-Premissas!$B$9-G11-Premissas!$B$7</f>
        <v>21.1980416666667</v>
      </c>
      <c r="K11" s="27" t="n">
        <f aca="false">H11*(1-Premissas!$B$10)-Premissas!$B$11-G11-Premissas!$B$7</f>
        <v>19.4560416666667</v>
      </c>
      <c r="L11" s="29" t="n">
        <f aca="false">IF(I11&gt;0,ROUNDUP(Premissas!$B$12/I11,0),"sem lucro")</f>
        <v>33</v>
      </c>
    </row>
    <row r="12" customFormat="false" ht="15" hidden="false" customHeight="false" outlineLevel="0" collapsed="false">
      <c r="A12" s="24" t="s">
        <v>619</v>
      </c>
      <c r="B12" s="25" t="s">
        <v>497</v>
      </c>
      <c r="C12" s="25" t="s">
        <v>490</v>
      </c>
      <c r="D12" s="25" t="s">
        <v>494</v>
      </c>
      <c r="E12" s="26"/>
      <c r="F12" s="26"/>
      <c r="G12" s="27" t="n">
        <f aca="false">IFERROR(INDEX(Produtos!$H$2:$H$185,MATCH(B12,Produtos!$A$2:$A$185,0)),0)+IFERROR(INDEX(Produtos!$H$2:$H$185,MATCH(C12,Produtos!$A$2:$A$185,0)),0)+IFERROR(INDEX(Produtos!$H$2:$H$185,MATCH(D12,Produtos!$A$2:$A$185,0)),0)+IFERROR(INDEX(Produtos!$H$2:$H$185,MATCH(E12,Produtos!$A$2:$A$185,0)),0)+IFERROR(INDEX(Produtos!$H$2:$H$185,MATCH(F12,Produtos!$A$2:$A$185,0)),0)</f>
        <v>18.225</v>
      </c>
      <c r="H12" s="28" t="n">
        <v>54.9</v>
      </c>
      <c r="I12" s="27" t="n">
        <f aca="false">H12*(1-Premissas!$B$5)*(1-Premissas!$B$6)-G12-Premissas!$B$7</f>
        <v>32.40845</v>
      </c>
      <c r="J12" s="27" t="n">
        <f aca="false">H12*(1-Premissas!$B$8)-Premissas!$B$9-G12-Premissas!$B$7</f>
        <v>22.837</v>
      </c>
      <c r="K12" s="27" t="n">
        <f aca="false">H12*(1-Premissas!$B$10)-Premissas!$B$11-G12-Premissas!$B$7</f>
        <v>20.695</v>
      </c>
      <c r="L12" s="29" t="n">
        <f aca="false">IF(I12&gt;0,ROUNDUP(Premissas!$B$12/I12,0),"sem lucro")</f>
        <v>31</v>
      </c>
    </row>
    <row r="14" customFormat="false" ht="15" hidden="false" customHeight="false" outlineLevel="0" collapsed="false">
      <c r="A14" s="2" t="s">
        <v>620</v>
      </c>
    </row>
  </sheetData>
  <conditionalFormatting sqref="I2:K12">
    <cfRule type="colorScale" priority="2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2026-09-24T18:26:08Z</dcterms:created>
  <dc:creator>openpyxl</dc:creator>
  <dc:description/>
  <dc:language>en-US</dc:language>
  <cp:lastModifiedBy/>
  <dcterms:modified xsi:type="dcterms:W3CDTF">2026-09-24T18:26:08Z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