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B12" authorId="0">
      <text>
        <r>
          <rPr>
            <sz val="10"/>
            <rFont val="Arial"/>
            <family val="2"/>
          </rPr>
          <t xml:space="preserve">Blush Stick Multifuncional (BF10197)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C12" authorId="0">
      <text>
        <r>
          <rPr>
            <sz val="10"/>
            <rFont val="Arial"/>
            <family val="2"/>
          </rPr>
          <t xml:space="preserve">Iluminador Stick Multifuncional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D12" authorId="0">
      <text>
        <r>
          <rPr>
            <sz val="10"/>
            <rFont val="Arial"/>
            <family val="2"/>
          </rPr>
          <t xml:space="preserve">Corretivo Stick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36h Curva e Volume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<sst xmlns="http://schemas.openxmlformats.org/spreadsheetml/2006/main" count="1259" uniqueCount="534">
  <si>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</si>
  <si>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</si>
  <si>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</si>
  <si>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</si>
  <si>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</si>
  <si>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</si>
  <si>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</si>
  <si>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</si>
  <si>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</si>
  <si>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</si>
  <si>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</si>
  <si>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</si>
  <si>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</si>
  <si>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</si>
  <si>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</si>
  <si>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</si>
  <si>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</si>
  <si>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</si>
  <si>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</si>
  <si>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</si>
  <si>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</si>
  <si>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</si>
  <si>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</si>
  <si>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</si>
  <si>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</si>
  <si>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</si>
  <si>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</si>
  <si>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</si>
  <si>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</si>
  <si>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</si>
  <si>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</si>
  <si>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</si>
  <si>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</si>
  <si>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</si>
  <si>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</si>
  <si>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</si>
  <si>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</si>
  <si>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</si>
  <si>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</si>
  <si>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</si>
  <si>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</si>
  <si>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</si>
  <si>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</si>
  <si>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</si>
  <si>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</si>
  <si>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</si>
  <si>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</si>
  <si>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</si>
  <si>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</si>
  <si>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</si>
  <si>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</si>
  <si>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</si>
  <si>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</si>
  <si>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</si>
  <si>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</si>
  <si>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</si>
  <si>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</si>
  <si>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</si>
  <si>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</si>
  <si>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</si>
  <si>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</si>
  <si>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</si>
  <si>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</si>
  <si>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</si>
  <si>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</si>
  <si>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</si>
  <si>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</si>
  <si>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</si>
  <si>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</si>
  <si>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</si>
  <si>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</si>
  <si>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</si>
  <si>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</si>
  <si>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</si>
  <si>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</si>
  <si>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</si>
  <si>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</si>
  <si>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</si>
  <si>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</si>
  <si>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</si>
  <si>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</si>
  <si>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</si>
  <si>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</si>
  <si>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</si>
  <si>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</si>
  <si>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</si>
  <si>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</si>
  <si>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</si>
  <si>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</si>
  <si>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</si>
  <si>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</si>
  <si>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</si>
  <si>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</si>
  <si>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</si>
  <si>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</si>
  <si>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</si>
  <si>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</si>
  <si>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</si>
  <si>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</si>
  <si>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</si>
  <si>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</si>
  <si>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</si>
  <si>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</si>
  <si>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</si>
  <si>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</si>
  <si>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</si>
  <si>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</si>
  <si>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</si>
  <si>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</si>
  <si>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</si>
  <si>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</si>
  <si>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</si>
  <si>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</si>
  <si>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</si>
  <si>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</si>
  <si>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</si>
  <si>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</si>
  <si>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</si>
  <si>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</si>
  <si>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</si>
  <si>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</si>
  <si>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</si>
  <si>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</si>
  <si>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</si>
  <si>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</si>
  <si>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</si>
  <si>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Trocada pela Super Poderes 36h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</si>
  <si>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</si>
  <si>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</si>
  <si>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</si>
  <si>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</si>
  <si>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</si>
  <si>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</si>
  <si>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</si>
  <si>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</si>
  <si>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</si>
  <si>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</si>
  <si>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</si>
  <si>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</si>
  <si>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</si>
  <si>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</si>
  <si>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</si>
  <si>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</si>
  <si>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</si>
  <si>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</si>
  <si>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</si>
  <si>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</si>
  <si>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</si>
  <si>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</si>
  <si>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</si>
  <si>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</si>
  <si>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</si>
  <si>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</si>
  <si>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</si>
  <si>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</si>
  <si>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</si>
  <si>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</si>
  <si>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</si>
  <si>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</si>
  <si>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</si>
  <si>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</si>
  <si>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</si>
  <si>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</si>
  <si>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</si>
  <si>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</si>
  <si>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</si>
  <si>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</si>
  <si>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</si>
  <si>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</si>
  <si>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</si>
  <si>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</si>
  <si>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</si>
  <si>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</si>
  <si>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</si>
  <si>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</si>
  <si>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</si>
  <si>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</si>
  <si>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</si>
  <si>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</si>
  <si>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</si>
  <si>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</si>
  <si>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</si>
  <si>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</si>
  <si>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</si>
  <si>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</si>
  <si>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</si>
  <si>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</si>
  <si>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</si>
  <si>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</si>
  <si>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</si>
  <si>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</si>
  <si>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</si>
  <si>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</si>
  <si>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</si>
  <si>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</si>
  <si>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</si>
  <si>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</si>
  <si>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</si>
  <si>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</si>
  <si>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</si>
  <si>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</si>
  <si>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</si>
  <si>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</si>
  <si>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</si>
  <si>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</si>
  <si>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</si>
  <si>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</si>
  <si>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</si>
  <si>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</si>
  <si>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</si>
  <si>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</si>
  <si>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</si>
  <si>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</si>
  <si>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</si>
  <si>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</si>
  <si>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</si>
  <si>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</si>
  <si>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</si>
  <si>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</si>
  <si>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</si>
  <si>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</si>
  <si>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</si>
  <si>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</si>
  <si>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</si>
  <si>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</si>
  <si>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</si>
  <si>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</si>
  <si>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</si>
  <si>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</si>
  <si>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</si>
  <si>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</si>
  <si>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</si>
  <si>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</si>
  <si>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</si>
  <si>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</si>
  <si>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</si>
  <si>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</si>
  <si>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</si>
  <si>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</si>
  <si>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</si>
  <si>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</si>
  <si>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</si>
  <si>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</si>
  <si>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</si>
  <si>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</si>
  <si>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</si>
  <si>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</si>
  <si>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</si>
  <si>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</si>
  <si>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</si>
  <si>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</si>
  <si>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</si>
  <si>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</si>
  <si>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</si>
  <si>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</si>
  <si>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</si>
  <si>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</si>
  <si>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</si>
  <si>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</si>
  <si>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</si>
  <si>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</si>
  <si>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</si>
  <si>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</si>
  <si>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</si>
  <si>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</si>
  <si>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</si>
  <si>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</si>
  <si>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</si>
  <si>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</si>
  <si>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</si>
  <si>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</si>
  <si>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</si>
  <si>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</si>
  <si>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</si>
  <si>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</si>
  <si>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</si>
  <si>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</si>
  <si>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</si>
  <si>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</si>
  <si>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</si>
  <si>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</si>
  <si>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</si>
  <si>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</si>
  <si>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</si>
  <si>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</si>
  <si>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</si>
  <si>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</si>
  <si>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</si>
  <si>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</si>
  <si>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</si>
  <si>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</si>
  <si>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</si>
  <si>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</si>
  <si>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</si>
  <si>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</si>
  <si>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</si>
  <si>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</si>
  <si>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</si>
  <si>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</si>
  <si>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</si>
  <si>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</si>
  <si>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</si>
  <si>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</si>
  <si>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</si>
  <si>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</si>
  <si>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</si>
  <si>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</si>
  <si>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</si>
  <si>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</si>
  <si>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</si>
  <si>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</si>
  <si>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</si>
  <si>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</si>
  <si>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</si>
  <si>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</si>
  <si>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</si>
  <si>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</si>
  <si>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</si>
  <si>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</si>
  <si>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</si>
  <si>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</si>
  <si>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</si>
  <si>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</si>
  <si>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</si>
  <si>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</si>
  <si>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</si>
  <si>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</si>
  <si>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</si>
  <si>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</si>
  <si>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</si>
  <si>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</si>
  <si>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</si>
  <si>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</si>
  <si>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</si>
  <si>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</si>
  <si>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</si>
  <si>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</si>
  <si>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</si>
  <si>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</si>
  <si>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</si>
  <si>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</si>
  <si>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</si>
  <si>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</si>
  <si>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</si>
  <si>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</si>
  <si>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</si>
  <si>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</si>
  <si>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</si>
  <si>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</si>
  <si>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</si>
  <si>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P97</t>
  </si>
  <si>
    <t xml:space="preserve">Pó Solto Banana (B101)</t>
  </si>
  <si>
    <t xml:space="preserve">Caixa com 19. O Pó de Tapioca Miss Rôse é mais barato</t>
  </si>
  <si>
    <t xml:space="preserve">P98</t>
  </si>
  <si>
    <t xml:space="preserve">Blush (ME003)</t>
  </si>
  <si>
    <t xml:space="preserve">P99</t>
  </si>
  <si>
    <t xml:space="preserve">Lip Cream You Me com Chaveiro</t>
  </si>
  <si>
    <t xml:space="preserve">P100</t>
  </si>
  <si>
    <t xml:space="preserve">Lip Oil Jelly Hello Kitty</t>
  </si>
  <si>
    <t xml:space="preserve">Yalanni</t>
  </si>
  <si>
    <t xml:space="preserve">Evitar (personagem licenciado)</t>
  </si>
  <si>
    <t xml:space="preserve">Hello Kitty é marca registrada: sem licença comprovada, o anúncio pode ser removido</t>
  </si>
  <si>
    <t xml:space="preserve">P101</t>
  </si>
  <si>
    <t xml:space="preserve">Lip Gloss Chocolip</t>
  </si>
  <si>
    <t xml:space="preserve">P102</t>
  </si>
  <si>
    <t xml:space="preserve">Gel para Sobrancelha Velvet Fix Brow</t>
  </si>
  <si>
    <t xml:space="preserve">Já tem o gel Wike Make</t>
  </si>
  <si>
    <t xml:space="preserve">P103</t>
  </si>
  <si>
    <t xml:space="preserve">Candy Balm 10g (Biscoito Recheado, Creme de Avelã)</t>
  </si>
  <si>
    <t xml:space="preserve">Hidratante labial; 2 sabores</t>
  </si>
  <si>
    <t xml:space="preserve">P104</t>
  </si>
  <si>
    <t xml:space="preserve">Máscara para Cílios Alonga Olhar</t>
  </si>
  <si>
    <t xml:space="preserve">P105</t>
  </si>
  <si>
    <t xml:space="preserve">Máscara para Cílios 36h Curva e Volume</t>
  </si>
  <si>
    <t xml:space="preserve">Comprar (kit Olhar Poderoso)</t>
  </si>
  <si>
    <t xml:space="preserve">Mais barata que a Miss Romantic (R$ 5,15 x R$ 6,68)</t>
  </si>
  <si>
    <t xml:space="preserve">P106</t>
  </si>
  <si>
    <t xml:space="preserve">Gloss Labial Super Bocão (N°06, N°08, N°09)</t>
  </si>
  <si>
    <t xml:space="preserve">Gloss "aumenta boca", muito procurado</t>
  </si>
  <si>
    <t xml:space="preserve">P107</t>
  </si>
  <si>
    <t xml:space="preserve">Lip Gloss Gelato</t>
  </si>
  <si>
    <t xml:space="preserve">P108</t>
  </si>
  <si>
    <t xml:space="preserve">Pó Solto Facial Rosa Entregou Tudo</t>
  </si>
  <si>
    <t xml:space="preserve">Caixa com 15</t>
  </si>
  <si>
    <t xml:space="preserve">P109</t>
  </si>
  <si>
    <t xml:space="preserve">Body Cream 125ml (Glow Belle, Angelical, Paradoxo, Glowly, Royal Glow)</t>
  </si>
  <si>
    <t xml:space="preserve">Glow Line</t>
  </si>
  <si>
    <t xml:space="preserve">5 fragrâncias. A Natuza já cobre os body creams</t>
  </si>
  <si>
    <t xml:space="preserve">P110</t>
  </si>
  <si>
    <t xml:space="preserve">Balm Sweet Lips / Babalips com chaveiro (5 sabores)</t>
  </si>
  <si>
    <t xml:space="preserve">Opcional (bom como brinde)</t>
  </si>
  <si>
    <t xml:space="preserve">Tutti Frutti, Melancia, Glitter, Chocolate, Goma de Mascar</t>
  </si>
  <si>
    <t xml:space="preserve">P111</t>
  </si>
  <si>
    <t xml:space="preserve">Pó Translúcido Banana</t>
  </si>
  <si>
    <t xml:space="preserve">Sarah's Beauty</t>
  </si>
  <si>
    <t xml:space="preserve">O Pó de Tapioca Miss Rôse é mais barato</t>
  </si>
  <si>
    <t xml:space="preserve">P112</t>
  </si>
  <si>
    <t xml:space="preserve">Brilho Labial Vitamin C / Vitamin B3</t>
  </si>
  <si>
    <t xml:space="preserve">2 versões</t>
  </si>
  <si>
    <t xml:space="preserve">P113</t>
  </si>
  <si>
    <t xml:space="preserve">Hidratante Labial Lip Kat Doce de Leite 10g</t>
  </si>
  <si>
    <t xml:space="preserve">Febella</t>
  </si>
  <si>
    <t xml:space="preserve">Evitar (lucro baixo)</t>
  </si>
  <si>
    <t xml:space="preserve">P114</t>
  </si>
  <si>
    <t xml:space="preserve">Lip Gloss Glaze 3D (LG40153)</t>
  </si>
  <si>
    <t xml:space="preserve">P115</t>
  </si>
  <si>
    <t xml:space="preserve">Corretivo Líquido Matte</t>
  </si>
  <si>
    <t xml:space="preserve">Lush Lux</t>
  </si>
  <si>
    <t xml:space="preserve">P116</t>
  </si>
  <si>
    <t xml:space="preserve">Lip Gloss Twist</t>
  </si>
  <si>
    <t xml:space="preserve">Yasmim &amp; Ju</t>
  </si>
  <si>
    <t xml:space="preserve">P117</t>
  </si>
  <si>
    <t xml:space="preserve">Lip Bocão</t>
  </si>
  <si>
    <t xml:space="preserve">Parecido com o Super Bocão (R$ 5,20)</t>
  </si>
  <si>
    <t xml:space="preserve">P118</t>
  </si>
  <si>
    <t xml:space="preserve">Máscara para Cílios Preto Absoluto</t>
  </si>
  <si>
    <t xml:space="preserve">Rubi</t>
  </si>
  <si>
    <t xml:space="preserve">Qtd na caixa não aparece no print: considerei 24</t>
  </si>
  <si>
    <t xml:space="preserve">P119</t>
  </si>
  <si>
    <t xml:space="preserve">Lápis Delineador para Olhos Preto (c/12)</t>
  </si>
  <si>
    <t xml:space="preserve">Pacote com 12: R$ 1,94 cada</t>
  </si>
  <si>
    <t xml:space="preserve">P120</t>
  </si>
  <si>
    <t xml:space="preserve">Lápis para Sobrancelhas Marrom (c/12)</t>
  </si>
  <si>
    <t xml:space="preserve">Pacote com 12: R$ 2,42 cada</t>
  </si>
  <si>
    <t xml:space="preserve">P121</t>
  </si>
  <si>
    <t xml:space="preserve">Lip Gloss Chaveiro Marshmallow</t>
  </si>
  <si>
    <t xml:space="preserve">P122</t>
  </si>
  <si>
    <t xml:space="preserve">Blush Líquido</t>
  </si>
  <si>
    <t xml:space="preserve">Toque Special</t>
  </si>
  <si>
    <t xml:space="preserve">Opcional (alternativa ao Pink 21)</t>
  </si>
  <si>
    <t xml:space="preserve">O mais barato da lista (R$ 3,37); marca menos conhecida que a Pink 21</t>
  </si>
  <si>
    <t xml:space="preserve">P123</t>
  </si>
  <si>
    <t xml:space="preserve">Delineador Líquido</t>
  </si>
  <si>
    <t xml:space="preserve">P124</t>
  </si>
  <si>
    <t xml:space="preserve">Pó Facial Translúcido Stay Matte</t>
  </si>
  <si>
    <t xml:space="preserve">Soham</t>
  </si>
  <si>
    <t xml:space="preserve">Visto a R$ 4,59 em outra loja</t>
  </si>
  <si>
    <t xml:space="preserve">P125</t>
  </si>
  <si>
    <t xml:space="preserve">Escova de Chuveiro Reconstrutor 3 Minutos 280ml</t>
  </si>
  <si>
    <t xml:space="preserve">Bellafemme</t>
  </si>
  <si>
    <t xml:space="preserve">Opcional (confirmar preço)</t>
  </si>
  <si>
    <t xml:space="preserve">Progressiva de chuveiro está em alta. Frasco pesado</t>
  </si>
  <si>
    <t xml:space="preserve">P126</t>
  </si>
  <si>
    <t xml:space="preserve">Caneta Delineadora (BR1238)</t>
  </si>
  <si>
    <t xml:space="preserve">P127</t>
  </si>
  <si>
    <t xml:space="preserve">Face Primer (BR1209)</t>
  </si>
  <si>
    <t xml:space="preserve">Mais barato que o Primer Hidro Pink 21 (R$ 6,70)</t>
  </si>
  <si>
    <t xml:space="preserve">P128</t>
  </si>
  <si>
    <t xml:space="preserve">Kit Piranhas Hello Kitty Dourada (c/12)</t>
  </si>
  <si>
    <t xml:space="preserve">Hello Kitty é marca registrada</t>
  </si>
  <si>
    <t xml:space="preserve">P129</t>
  </si>
  <si>
    <t xml:space="preserve">Kit Piranhas Hello Kitty com Brilho (c/12)</t>
  </si>
  <si>
    <t xml:space="preserve">P130</t>
  </si>
  <si>
    <t xml:space="preserve">Lip Oil Hidratante Coelho Encantado</t>
  </si>
  <si>
    <t xml:space="preserve">MiaTeen</t>
  </si>
  <si>
    <t xml:space="preserve">P131</t>
  </si>
  <si>
    <t xml:space="preserve">Máscara para Cílios Curl Up</t>
  </si>
  <si>
    <t xml:space="preserve">A Super Poderes 36h é mais barata</t>
  </si>
  <si>
    <t xml:space="preserve">P132</t>
  </si>
  <si>
    <t xml:space="preserve">Lip Gloss Extra Gloss</t>
  </si>
  <si>
    <t xml:space="preserve">P133</t>
  </si>
  <si>
    <t xml:space="preserve">Contorno para Lábios Full Cover Passion</t>
  </si>
  <si>
    <t xml:space="preserve">Qtd na caixa cortada no print ("C/4..."): considerei 48</t>
  </si>
  <si>
    <t xml:space="preserve">P134</t>
  </si>
  <si>
    <t xml:space="preserve">Paleta de Sobrancelha Duo</t>
  </si>
  <si>
    <t xml:space="preserve">Com pincel</t>
  </si>
  <si>
    <t xml:space="preserve">P135</t>
  </si>
  <si>
    <t xml:space="preserve">Pó Compacto (2 coleções de cores)</t>
  </si>
  <si>
    <t xml:space="preserve">P136</t>
  </si>
  <si>
    <t xml:space="preserve">Lip Gloss Glamour</t>
  </si>
  <si>
    <t xml:space="preserve">P137</t>
  </si>
  <si>
    <t xml:space="preserve">Lip Gloss Loop com chaveiro</t>
  </si>
  <si>
    <t xml:space="preserve">P138</t>
  </si>
  <si>
    <t xml:space="preserve">Lip Gloss Donut Glaze</t>
  </si>
  <si>
    <t xml:space="preserve">P139</t>
  </si>
  <si>
    <t xml:space="preserve">Lip Gloss Diamond Pink</t>
  </si>
  <si>
    <t xml:space="preserve">P140</t>
  </si>
  <si>
    <t xml:space="preserve">Batom Líquido All Day Stay</t>
  </si>
  <si>
    <t xml:space="preserve">Evitar (All Day é mais barato)</t>
  </si>
  <si>
    <t xml:space="preserve">P141</t>
  </si>
  <si>
    <t xml:space="preserve">Blush e Contorno em Bastão</t>
  </si>
  <si>
    <t xml:space="preserve">P142</t>
  </si>
  <si>
    <t xml:space="preserve">Lip Oil Juicy (CS5287)</t>
  </si>
  <si>
    <t xml:space="preserve">P143</t>
  </si>
  <si>
    <t xml:space="preserve">Corretivo Líquido com Aplicador Esponja</t>
  </si>
  <si>
    <t xml:space="preserve">Qtd na caixa cortada no print: considerei 24</t>
  </si>
  <si>
    <t xml:space="preserve">P144</t>
  </si>
  <si>
    <t xml:space="preserve">Toalhas Compactas (pacote c/6)</t>
  </si>
  <si>
    <t xml:space="preserve">Só em kit / brinde</t>
  </si>
  <si>
    <t xml:space="preserve">P145</t>
  </si>
  <si>
    <t xml:space="preserve">Iluminador Stick Multifuncional</t>
  </si>
  <si>
    <t xml:space="preserve">Comprar (kit Trio Stick)</t>
  </si>
  <si>
    <t xml:space="preserve">Mesma linha do Blush Stick (R$ 26,90 no site da marca)</t>
  </si>
  <si>
    <t xml:space="preserve">P146</t>
  </si>
  <si>
    <t xml:space="preserve">Corretivo Stick Multifuncional</t>
  </si>
  <si>
    <t xml:space="preserve">Mesma linha do Blush Stick</t>
  </si>
  <si>
    <t xml:space="preserve">P147</t>
  </si>
  <si>
    <t xml:space="preserve">Blush Stick Multifuncional (BF10197)</t>
  </si>
  <si>
    <t xml:space="preserve">R$ 26,90 no site oficial da Bella Femme</t>
  </si>
  <si>
    <t xml:space="preserve">P148</t>
  </si>
  <si>
    <t xml:space="preserve">Batom Hidratante Glazed</t>
  </si>
  <si>
    <t xml:space="preserve">P149</t>
  </si>
  <si>
    <t xml:space="preserve">Batom Cronos (BF10149)</t>
  </si>
  <si>
    <t xml:space="preserve">P150</t>
  </si>
  <si>
    <t xml:space="preserve">Pó Compacto 4 Tonalidades Tons Escuros</t>
  </si>
  <si>
    <t xml:space="preserve">Opcional (confirmar qtd)</t>
  </si>
  <si>
    <t xml:space="preserve">Qtd cortada no print: considerei 24 (outro atacado vende caixa de 32). Pó para pele negra tem pouca oferta: bom diferencial</t>
  </si>
  <si>
    <t xml:space="preserve">P151</t>
  </si>
  <si>
    <t xml:space="preserve">Brilho Labial Ursinho</t>
  </si>
  <si>
    <t xml:space="preserve">Maria Pink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</si>
  <si>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</si>
  <si>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</si>
  <si>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</si>
  <si>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</si>
  <si>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</si>
  <si>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</si>
  <si>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</si>
  <si>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</si>
  <si>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</si>
  <si>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</si>
  <si>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</si>
  <si>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</si>
  <si>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</si>
  <si>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</si>
  <si>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</si>
  <si>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</si>
  <si>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</si>
  <si>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</si>
  <si>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</si>
  <si>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</si>
  <si>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</si>
  <si>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</si>
  <si>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Trio Stick Bellafemme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</si>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</sst>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8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96D4A7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DDDB9"/>
          <bgColor rgb="FF000000"/>
        </patternFill>
      </fill>
    </dxf>
    <dxf>
      <fill>
        <patternFill patternType="solid">
          <fgColor rgb="FFAEDDBA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6E1C2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AF0DF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COUNTA(Produtos!A2:A152)</f>
        <v>151</v>
      </c>
    </row>
    <row r="6" customFormat="false" ht="15" hidden="false" customHeight="false" outlineLevel="0" collapsed="false">
      <c r="A6" s="4" t="s">
        <v>5</v>
      </c>
      <c r="B6" s="5" t="n">
        <f aca="false">COUNTIF(Produtos!T2:T152,"S")</f>
        <v>39</v>
      </c>
    </row>
    <row r="7" customFormat="false" ht="15" hidden="false" customHeight="false" outlineLevel="0" collapsed="false">
      <c r="A7" s="6" t="s">
        <v>6</v>
      </c>
      <c r="B7" s="7" t="n">
        <f aca="false">SUM(Produtos!Y2:Y152)</f>
        <v>4306.46</v>
      </c>
    </row>
    <row r="8" customFormat="false" ht="15" hidden="false" customHeight="false" outlineLevel="0" collapsed="false">
      <c r="A8" s="4" t="s">
        <v>7</v>
      </c>
      <c r="B8" s="5" t="n">
        <f aca="false">SUMPRODUCT((Produtos!T2:T152="S")*Produtos!F2:F152*Produtos!X2:X152)</f>
        <v>793</v>
      </c>
    </row>
    <row r="9" customFormat="false" ht="15" hidden="false" customHeight="false" outlineLevel="0" collapsed="false">
      <c r="A9" s="4" t="s">
        <v>8</v>
      </c>
      <c r="B9" s="7" t="n">
        <f aca="false">SUM(Produtos!V2:V152)</f>
        <v>12200.7</v>
      </c>
    </row>
    <row r="10" customFormat="false" ht="15" hidden="false" customHeight="false" outlineLevel="0" collapsed="false">
      <c r="A10" s="6" t="s">
        <v>9</v>
      </c>
      <c r="B10" s="7" t="n">
        <f aca="false">SUM(Produtos!W2:W152)</f>
        <v>6375.29835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1.48040347524417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76</v>
      </c>
      <c r="U22" s="15"/>
      <c r="V22" s="18" t="n">
        <f aca="false">IF(AND(T22="S",ISNUMBER(L22),ISNUMBER(F22)),L22*F22*X22,0)</f>
        <v>0</v>
      </c>
      <c r="W22" s="18" t="n">
        <f aca="false">IF(AND(T22="S",ISNUMBER(Q22)),Q22*X22,0)</f>
        <v>0</v>
      </c>
      <c r="X22" s="23" t="n">
        <v>1</v>
      </c>
      <c r="Y22" s="18" t="n">
        <f aca="false">IF(AND(T22="S",ISNUMBER(G22)),G22*X22,0)</f>
        <v>0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285</v>
      </c>
      <c r="B74" s="15" t="s">
        <v>286</v>
      </c>
      <c r="C74" s="14" t="s">
        <v>207</v>
      </c>
      <c r="D74" s="14" t="s">
        <v>63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0.185750000000001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287</v>
      </c>
      <c r="T74" s="23" t="s">
        <v>66</v>
      </c>
      <c r="U74" s="15" t="s">
        <v>288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289</v>
      </c>
      <c r="B75" s="15" t="s">
        <v>290</v>
      </c>
      <c r="C75" s="14" t="s">
        <v>291</v>
      </c>
      <c r="D75" s="14" t="s">
        <v>125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-2.73216666666667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266</v>
      </c>
      <c r="T75" s="23" t="s">
        <v>76</v>
      </c>
      <c r="U75" s="15" t="s">
        <v>267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292</v>
      </c>
      <c r="B76" s="15" t="s">
        <v>293</v>
      </c>
      <c r="C76" s="14" t="s">
        <v>291</v>
      </c>
      <c r="D76" s="14" t="s">
        <v>117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-2.73216666666667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294</v>
      </c>
      <c r="T76" s="23" t="s">
        <v>76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295</v>
      </c>
      <c r="B77" s="15" t="s">
        <v>296</v>
      </c>
      <c r="C77" s="14" t="s">
        <v>291</v>
      </c>
      <c r="D77" s="14" t="s">
        <v>117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-2.73216666666667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252</v>
      </c>
      <c r="T77" s="23" t="s">
        <v>76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297</v>
      </c>
      <c r="B78" s="15" t="s">
        <v>298</v>
      </c>
      <c r="C78" s="14" t="s">
        <v>291</v>
      </c>
      <c r="D78" s="14" t="s">
        <v>117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-2.24883333333333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82</v>
      </c>
      <c r="T78" s="23" t="s">
        <v>76</v>
      </c>
      <c r="U78" s="15" t="s">
        <v>299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300</v>
      </c>
      <c r="B79" s="15" t="s">
        <v>301</v>
      </c>
      <c r="C79" s="14" t="s">
        <v>291</v>
      </c>
      <c r="D79" s="14" t="s">
        <v>125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-1.51966666666667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82</v>
      </c>
      <c r="T79" s="23" t="s">
        <v>76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302</v>
      </c>
      <c r="B80" s="15" t="s">
        <v>303</v>
      </c>
      <c r="C80" s="14" t="s">
        <v>291</v>
      </c>
      <c r="D80" s="14" t="s">
        <v>125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-0.631333333333333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82</v>
      </c>
      <c r="T80" s="23" t="s">
        <v>76</v>
      </c>
      <c r="U80" s="15" t="s">
        <v>304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305</v>
      </c>
      <c r="B81" s="15" t="s">
        <v>306</v>
      </c>
      <c r="C81" s="14" t="s">
        <v>291</v>
      </c>
      <c r="D81" s="14" t="s">
        <v>63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64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-2.73216666666667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IFERROR(IF(M81&gt;0,ROUNDUP(Premissas!$B$12/M81,0),"sem lucro"),"")</f>
        <v>236</v>
      </c>
      <c r="S81" s="15" t="s">
        <v>307</v>
      </c>
      <c r="T81" s="23" t="s">
        <v>76</v>
      </c>
      <c r="U81" s="15" t="s">
        <v>267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308</v>
      </c>
      <c r="B82" s="15" t="s">
        <v>309</v>
      </c>
      <c r="C82" s="14" t="s">
        <v>291</v>
      </c>
      <c r="D82" s="14" t="s">
        <v>117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64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-3.03633333333333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IFERROR(IF(M82&gt;0,ROUNDUP(Premissas!$B$12/M82,0),"sem lucro"),"")</f>
        <v>255</v>
      </c>
      <c r="S82" s="15" t="s">
        <v>252</v>
      </c>
      <c r="T82" s="23" t="s">
        <v>76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310</v>
      </c>
      <c r="B83" s="15" t="s">
        <v>311</v>
      </c>
      <c r="C83" s="14" t="s">
        <v>291</v>
      </c>
      <c r="D83" s="14" t="s">
        <v>117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64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-2.73216666666667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IFERROR(IF(M83&gt;0,ROUNDUP(Premissas!$B$12/M83,0),"sem lucro"),"")</f>
        <v>236</v>
      </c>
      <c r="S83" s="15" t="s">
        <v>252</v>
      </c>
      <c r="T83" s="23" t="s">
        <v>76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312</v>
      </c>
      <c r="B84" s="15" t="s">
        <v>313</v>
      </c>
      <c r="C84" s="14" t="s">
        <v>291</v>
      </c>
      <c r="D84" s="14" t="s">
        <v>117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64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-2.73216666666667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IFERROR(IF(M84&gt;0,ROUNDUP(Premissas!$B$12/M84,0),"sem lucro"),"")</f>
        <v>236</v>
      </c>
      <c r="S84" s="15" t="s">
        <v>252</v>
      </c>
      <c r="T84" s="23" t="s">
        <v>76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15" hidden="false" customHeight="false" outlineLevel="0" collapsed="false">
      <c r="A85" s="14" t="s">
        <v>314</v>
      </c>
      <c r="B85" s="15" t="s">
        <v>315</v>
      </c>
      <c r="C85" s="14" t="s">
        <v>316</v>
      </c>
      <c r="D85" s="14" t="s">
        <v>117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64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-1.898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IFERROR(IF(M85&gt;0,ROUNDUP(Premissas!$B$12/M85,0),"sem lucro"),"")</f>
        <v>195</v>
      </c>
      <c r="S85" s="15" t="s">
        <v>82</v>
      </c>
      <c r="T85" s="23" t="s">
        <v>76</v>
      </c>
      <c r="U85" s="15"/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317</v>
      </c>
      <c r="B86" s="15" t="s">
        <v>318</v>
      </c>
      <c r="C86" s="14" t="s">
        <v>319</v>
      </c>
      <c r="D86" s="14" t="s">
        <v>92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93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-3.738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IFERROR(IF(M86&gt;0,ROUNDUP(Premissas!$B$12/M86,0),"sem lucro"),"")</f>
        <v>322</v>
      </c>
      <c r="S86" s="15" t="s">
        <v>320</v>
      </c>
      <c r="T86" s="23" t="s">
        <v>76</v>
      </c>
      <c r="U86" s="15" t="s">
        <v>321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322</v>
      </c>
      <c r="B87" s="15" t="s">
        <v>323</v>
      </c>
      <c r="C87" s="14" t="s">
        <v>319</v>
      </c>
      <c r="D87" s="14" t="s">
        <v>63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64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-2.75216666666667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IFERROR(IF(M87&gt;0,ROUNDUP(Premissas!$B$12/M87,0),"sem lucro"),"")</f>
        <v>234</v>
      </c>
      <c r="S87" s="15" t="s">
        <v>324</v>
      </c>
      <c r="T87" s="23" t="s">
        <v>76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325</v>
      </c>
      <c r="B88" s="15" t="s">
        <v>326</v>
      </c>
      <c r="C88" s="14" t="s">
        <v>145</v>
      </c>
      <c r="D88" s="14" t="s">
        <v>125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64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-1.40633333333333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IFERROR(IF(M88&gt;0,ROUNDUP(Premissas!$B$12/M88,0),"sem lucro"),"")</f>
        <v>178</v>
      </c>
      <c r="S88" s="15" t="s">
        <v>82</v>
      </c>
      <c r="T88" s="23" t="s">
        <v>76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327</v>
      </c>
      <c r="B89" s="15" t="s">
        <v>328</v>
      </c>
      <c r="C89" s="14" t="s">
        <v>207</v>
      </c>
      <c r="D89" s="14" t="s">
        <v>125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64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-2.51466666666667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IFERROR(IF(M89&gt;0,ROUNDUP(Premissas!$B$12/M89,0),"sem lucro"),"")</f>
        <v>222</v>
      </c>
      <c r="S89" s="15" t="s">
        <v>82</v>
      </c>
      <c r="T89" s="23" t="s">
        <v>76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329</v>
      </c>
      <c r="B90" s="15" t="s">
        <v>330</v>
      </c>
      <c r="C90" s="14" t="s">
        <v>207</v>
      </c>
      <c r="D90" s="14" t="s">
        <v>63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93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1.67075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IFERROR(IF(M90&gt;0,ROUNDUP(Premissas!$B$12/M90,0),"sem lucro"),"")</f>
        <v>115</v>
      </c>
      <c r="S90" s="15" t="s">
        <v>65</v>
      </c>
      <c r="T90" s="23" t="s">
        <v>66</v>
      </c>
      <c r="U90" s="15" t="s">
        <v>331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332</v>
      </c>
      <c r="B91" s="15" t="s">
        <v>333</v>
      </c>
      <c r="C91" s="14" t="s">
        <v>207</v>
      </c>
      <c r="D91" s="14" t="s">
        <v>117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64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-1.298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IFERROR(IF(M91&gt;0,ROUNDUP(Premissas!$B$12/M91,0),"sem lucro"),"")</f>
        <v>175</v>
      </c>
      <c r="S91" s="15" t="s">
        <v>252</v>
      </c>
      <c r="T91" s="23" t="s">
        <v>76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334</v>
      </c>
      <c r="B92" s="15" t="s">
        <v>335</v>
      </c>
      <c r="C92" s="14" t="s">
        <v>207</v>
      </c>
      <c r="D92" s="14" t="s">
        <v>117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93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-3.44966666666667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IFERROR(IF(M92&gt;0,ROUNDUP(Premissas!$B$12/M92,0),"sem lucro"),"")</f>
        <v>317</v>
      </c>
      <c r="S92" s="15" t="s">
        <v>111</v>
      </c>
      <c r="T92" s="23" t="s">
        <v>76</v>
      </c>
      <c r="U92" s="15" t="s">
        <v>336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337</v>
      </c>
      <c r="B93" s="15" t="s">
        <v>338</v>
      </c>
      <c r="C93" s="14" t="s">
        <v>207</v>
      </c>
      <c r="D93" s="14" t="s">
        <v>63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64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2.82575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IFERROR(IF(M93&gt;0,ROUNDUP(Premissas!$B$12/M93,0),"sem lucro"),"")</f>
        <v>100</v>
      </c>
      <c r="S93" s="15" t="s">
        <v>65</v>
      </c>
      <c r="T93" s="23" t="s">
        <v>66</v>
      </c>
      <c r="U93" s="15" t="s">
        <v>339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340</v>
      </c>
      <c r="B94" s="15" t="s">
        <v>341</v>
      </c>
      <c r="C94" s="14" t="s">
        <v>198</v>
      </c>
      <c r="D94" s="14" t="s">
        <v>224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64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3.272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IFERROR(IF(M94&gt;0,ROUNDUP(Premissas!$B$12/M94,0),"sem lucro"),"")</f>
        <v>94</v>
      </c>
      <c r="S94" s="15" t="s">
        <v>82</v>
      </c>
      <c r="T94" s="23" t="s">
        <v>76</v>
      </c>
      <c r="U94" s="15" t="s">
        <v>342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343</v>
      </c>
      <c r="B95" s="15" t="s">
        <v>344</v>
      </c>
      <c r="C95" s="14" t="s">
        <v>316</v>
      </c>
      <c r="D95" s="14" t="s">
        <v>63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64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-2.58133333333333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IFERROR(IF(M95&gt;0,ROUNDUP(Premissas!$B$12/M95,0),"sem lucro"),"")</f>
        <v>225</v>
      </c>
      <c r="S95" s="15" t="s">
        <v>307</v>
      </c>
      <c r="T95" s="23" t="s">
        <v>76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345</v>
      </c>
      <c r="B96" s="15" t="s">
        <v>346</v>
      </c>
      <c r="C96" s="14" t="s">
        <v>259</v>
      </c>
      <c r="D96" s="14" t="s">
        <v>117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64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IFERROR(IF(M96&gt;0,ROUNDUP(Premissas!$B$12/M96,0),"sem lucro"),"")</f>
        <v/>
      </c>
      <c r="S96" s="15" t="s">
        <v>75</v>
      </c>
      <c r="T96" s="23" t="s">
        <v>76</v>
      </c>
      <c r="U96" s="15" t="s">
        <v>347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348</v>
      </c>
      <c r="B97" s="15" t="s">
        <v>349</v>
      </c>
      <c r="C97" s="14" t="s">
        <v>259</v>
      </c>
      <c r="D97" s="14" t="s">
        <v>117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64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IFERROR(IF(M97&gt;0,ROUNDUP(Premissas!$B$12/M97,0),"sem lucro"),"")</f>
        <v/>
      </c>
      <c r="S97" s="15" t="s">
        <v>75</v>
      </c>
      <c r="T97" s="23" t="s">
        <v>76</v>
      </c>
      <c r="U97" s="15" t="s">
        <v>347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  <row r="98" customFormat="false" ht="15" hidden="false" customHeight="false" outlineLevel="0" collapsed="false">
      <c r="A98" s="14" t="s">
        <v>350</v>
      </c>
      <c r="B98" s="15" t="s">
        <v>351</v>
      </c>
      <c r="C98" s="14" t="s">
        <v>195</v>
      </c>
      <c r="D98" s="14" t="s">
        <v>63</v>
      </c>
      <c r="E98" s="14" t="n">
        <v>8</v>
      </c>
      <c r="F98" s="16" t="n">
        <v>19</v>
      </c>
      <c r="G98" s="17" t="n">
        <v>119.9</v>
      </c>
      <c r="H98" s="18" t="n">
        <f aca="false">IF(ISNUMBER(G98),IFERROR(G98/F98,""),"")</f>
        <v>6.31052631578947</v>
      </c>
      <c r="I98" s="17" t="n">
        <v>12.9</v>
      </c>
      <c r="J98" s="17" t="n">
        <v>14.9</v>
      </c>
      <c r="K98" s="19" t="s">
        <v>64</v>
      </c>
      <c r="L98" s="20" t="n">
        <v>13.9</v>
      </c>
      <c r="M98" s="18" t="n">
        <f aca="false">IFERROR(L98*(1-Premissas!$B$5)*(1-Premissas!$B$6)-H98-Premissas!$B$7,"")</f>
        <v>5.76242368421053</v>
      </c>
      <c r="N98" s="21" t="n">
        <f aca="false">IFERROR(M98/L98,"")</f>
        <v>0.414562854979175</v>
      </c>
      <c r="O98" s="18" t="n">
        <f aca="false">IFERROR(L98*(1-Premissas!$B$8)-Premissas!$B$9-H98-Premissas!$B$7,"")</f>
        <v>-1.32852631578947</v>
      </c>
      <c r="P98" s="18" t="n">
        <f aca="false">IFERROR(L98*(1-Premissas!$B$10)-Premissas!$B$11-H98-Premissas!$B$7,"")</f>
        <v>-0.190526315789473</v>
      </c>
      <c r="Q98" s="18" t="n">
        <f aca="false">IFERROR(M98*F98,"")</f>
        <v>109.48605</v>
      </c>
      <c r="R98" s="22" t="n">
        <f aca="false">IFERROR(IF(M98&gt;0,ROUNDUP(Premissas!$B$12/M98,0),"sem lucro"),"")</f>
        <v>174</v>
      </c>
      <c r="S98" s="15" t="s">
        <v>82</v>
      </c>
      <c r="T98" s="23" t="s">
        <v>76</v>
      </c>
      <c r="U98" s="15" t="s">
        <v>352</v>
      </c>
      <c r="V98" s="18" t="n">
        <f aca="false">IF(AND(T98="S",ISNUMBER(L98),ISNUMBER(F98)),L98*F98*X98,0)</f>
        <v>0</v>
      </c>
      <c r="W98" s="18" t="n">
        <f aca="false">IF(AND(T98="S",ISNUMBER(Q98)),Q98*X98,0)</f>
        <v>0</v>
      </c>
      <c r="X98" s="23" t="n">
        <v>1</v>
      </c>
      <c r="Y98" s="18" t="n">
        <f aca="false">IF(AND(T98="S",ISNUMBER(G98)),G98*X98,0)</f>
        <v>0</v>
      </c>
    </row>
    <row r="99" customFormat="false" ht="15" hidden="false" customHeight="false" outlineLevel="0" collapsed="false">
      <c r="A99" s="14" t="s">
        <v>353</v>
      </c>
      <c r="B99" s="15" t="s">
        <v>354</v>
      </c>
      <c r="C99" s="14" t="s">
        <v>195</v>
      </c>
      <c r="D99" s="14" t="s">
        <v>63</v>
      </c>
      <c r="E99" s="14" t="n">
        <v>8</v>
      </c>
      <c r="F99" s="16" t="n">
        <v>24</v>
      </c>
      <c r="G99" s="17" t="n">
        <v>142.2</v>
      </c>
      <c r="H99" s="18" t="n">
        <f aca="false">IF(ISNUMBER(G99),IFERROR(G99/F99,""),"")</f>
        <v>5.925</v>
      </c>
      <c r="I99" s="17" t="n">
        <v>12.9</v>
      </c>
      <c r="J99" s="17" t="n">
        <v>12.9</v>
      </c>
      <c r="K99" s="19" t="s">
        <v>64</v>
      </c>
      <c r="L99" s="20" t="n">
        <v>12.9</v>
      </c>
      <c r="M99" s="18" t="n">
        <f aca="false">IFERROR(L99*(1-Premissas!$B$5)*(1-Premissas!$B$6)-H99-Premissas!$B$7,"")</f>
        <v>5.20745</v>
      </c>
      <c r="N99" s="21" t="n">
        <f aca="false">IFERROR(M99/L99,"")</f>
        <v>0.403678294573643</v>
      </c>
      <c r="O99" s="18" t="n">
        <f aca="false">IFERROR(L99*(1-Premissas!$B$8)-Premissas!$B$9-H99-Premissas!$B$7,"")</f>
        <v>-1.823</v>
      </c>
      <c r="P99" s="18" t="n">
        <f aca="false">IFERROR(L99*(1-Premissas!$B$10)-Premissas!$B$11-H99-Premissas!$B$7,"")</f>
        <v>-0.605</v>
      </c>
      <c r="Q99" s="18" t="n">
        <f aca="false">IFERROR(M99*F99,"")</f>
        <v>124.9788</v>
      </c>
      <c r="R99" s="22" t="n">
        <f aca="false">IFERROR(IF(M99&gt;0,ROUNDUP(Premissas!$B$12/M99,0),"sem lucro"),"")</f>
        <v>193</v>
      </c>
      <c r="S99" s="15" t="s">
        <v>82</v>
      </c>
      <c r="T99" s="23" t="s">
        <v>76</v>
      </c>
      <c r="U99" s="15"/>
      <c r="V99" s="18" t="n">
        <f aca="false">IF(AND(T99="S",ISNUMBER(L99),ISNUMBER(F99)),L99*F99*X99,0)</f>
        <v>0</v>
      </c>
      <c r="W99" s="18" t="n">
        <f aca="false">IF(AND(T99="S",ISNUMBER(Q99)),Q99*X99,0)</f>
        <v>0</v>
      </c>
      <c r="X99" s="23" t="n">
        <v>1</v>
      </c>
      <c r="Y99" s="18" t="n">
        <f aca="false">IF(AND(T99="S",ISNUMBER(G99)),G99*X99,0)</f>
        <v>0</v>
      </c>
    </row>
    <row r="100" customFormat="false" ht="15" hidden="false" customHeight="false" outlineLevel="0" collapsed="false">
      <c r="A100" s="14" t="s">
        <v>355</v>
      </c>
      <c r="B100" s="15" t="s">
        <v>356</v>
      </c>
      <c r="C100" s="14" t="s">
        <v>195</v>
      </c>
      <c r="D100" s="14" t="s">
        <v>117</v>
      </c>
      <c r="E100" s="14" t="n">
        <v>8</v>
      </c>
      <c r="F100" s="16" t="n">
        <v>24</v>
      </c>
      <c r="G100" s="17" t="n">
        <v>129.3</v>
      </c>
      <c r="H100" s="18" t="n">
        <f aca="false">IF(ISNUMBER(G100),IFERROR(G100/F100,""),"")</f>
        <v>5.3875</v>
      </c>
      <c r="I100" s="17" t="n">
        <v>12.9</v>
      </c>
      <c r="J100" s="17" t="n">
        <v>12.9</v>
      </c>
      <c r="K100" s="19" t="s">
        <v>64</v>
      </c>
      <c r="L100" s="20" t="n">
        <v>12.9</v>
      </c>
      <c r="M100" s="18" t="n">
        <f aca="false">IFERROR(L100*(1-Premissas!$B$5)*(1-Premissas!$B$6)-H100-Premissas!$B$7,"")</f>
        <v>5.74495</v>
      </c>
      <c r="N100" s="21" t="n">
        <f aca="false">IFERROR(M100/L100,"")</f>
        <v>0.44534496124031</v>
      </c>
      <c r="O100" s="18" t="n">
        <f aca="false">IFERROR(L100*(1-Premissas!$B$8)-Premissas!$B$9-H100-Premissas!$B$7,"")</f>
        <v>-1.2855</v>
      </c>
      <c r="P100" s="18" t="n">
        <f aca="false">IFERROR(L100*(1-Premissas!$B$10)-Premissas!$B$11-H100-Premissas!$B$7,"")</f>
        <v>-0.0674999999999999</v>
      </c>
      <c r="Q100" s="18" t="n">
        <f aca="false">IFERROR(M100*F100,"")</f>
        <v>137.8788</v>
      </c>
      <c r="R100" s="22" t="n">
        <f aca="false">IFERROR(IF(M100&gt;0,ROUNDUP(Premissas!$B$12/M100,0),"sem lucro"),"")</f>
        <v>175</v>
      </c>
      <c r="S100" s="15" t="s">
        <v>252</v>
      </c>
      <c r="T100" s="23" t="s">
        <v>76</v>
      </c>
      <c r="U100" s="15"/>
      <c r="V100" s="18" t="n">
        <f aca="false">IF(AND(T100="S",ISNUMBER(L100),ISNUMBER(F100)),L100*F100*X100,0)</f>
        <v>0</v>
      </c>
      <c r="W100" s="18" t="n">
        <f aca="false">IF(AND(T100="S",ISNUMBER(Q100)),Q100*X100,0)</f>
        <v>0</v>
      </c>
      <c r="X100" s="23" t="n">
        <v>1</v>
      </c>
      <c r="Y100" s="18" t="n">
        <f aca="false">IF(AND(T100="S",ISNUMBER(G100)),G100*X100,0)</f>
        <v>0</v>
      </c>
    </row>
    <row r="101" customFormat="false" ht="26.85" hidden="false" customHeight="false" outlineLevel="0" collapsed="false">
      <c r="A101" s="14" t="s">
        <v>357</v>
      </c>
      <c r="B101" s="15" t="s">
        <v>358</v>
      </c>
      <c r="C101" s="14" t="s">
        <v>359</v>
      </c>
      <c r="D101" s="14" t="s">
        <v>117</v>
      </c>
      <c r="E101" s="14" t="n">
        <v>8</v>
      </c>
      <c r="F101" s="16" t="n">
        <v>24</v>
      </c>
      <c r="G101" s="17" t="n">
        <v>160.4</v>
      </c>
      <c r="H101" s="18" t="n">
        <f aca="false">IF(ISNUMBER(G101),IFERROR(G101/F101,""),"")</f>
        <v>6.68333333333333</v>
      </c>
      <c r="I101" s="17" t="n">
        <v>14.9</v>
      </c>
      <c r="J101" s="17" t="n">
        <v>14.9</v>
      </c>
      <c r="K101" s="19" t="s">
        <v>64</v>
      </c>
      <c r="L101" s="20" t="n">
        <v>14.9</v>
      </c>
      <c r="M101" s="18" t="n">
        <f aca="false">IFERROR(L101*(1-Premissas!$B$5)*(1-Premissas!$B$6)-H101-Premissas!$B$7,"")</f>
        <v>6.33011666666667</v>
      </c>
      <c r="N101" s="21" t="n">
        <f aca="false">IFERROR(M101/L101,"")</f>
        <v>0.424840044742729</v>
      </c>
      <c r="O101" s="18" t="n">
        <f aca="false">IFERROR(L101*(1-Premissas!$B$8)-Premissas!$B$9-H101-Premissas!$B$7,"")</f>
        <v>-0.821333333333334</v>
      </c>
      <c r="P101" s="18" t="n">
        <f aca="false">IFERROR(L101*(1-Premissas!$B$10)-Premissas!$B$11-H101-Premissas!$B$7,"")</f>
        <v>0.236666666666668</v>
      </c>
      <c r="Q101" s="18" t="n">
        <f aca="false">IFERROR(M101*F101,"")</f>
        <v>151.9228</v>
      </c>
      <c r="R101" s="22" t="n">
        <f aca="false">IFERROR(IF(M101&gt;0,ROUNDUP(Premissas!$B$12/M101,0),"sem lucro"),"")</f>
        <v>158</v>
      </c>
      <c r="S101" s="15" t="s">
        <v>360</v>
      </c>
      <c r="T101" s="23" t="s">
        <v>76</v>
      </c>
      <c r="U101" s="15" t="s">
        <v>361</v>
      </c>
      <c r="V101" s="18" t="n">
        <f aca="false">IF(AND(T101="S",ISNUMBER(L101),ISNUMBER(F101)),L101*F101*X101,0)</f>
        <v>0</v>
      </c>
      <c r="W101" s="18" t="n">
        <f aca="false">IF(AND(T101="S",ISNUMBER(Q101)),Q101*X101,0)</f>
        <v>0</v>
      </c>
      <c r="X101" s="23" t="n">
        <v>1</v>
      </c>
      <c r="Y101" s="18" t="n">
        <f aca="false">IF(AND(T101="S",ISNUMBER(G101)),G101*X101,0)</f>
        <v>0</v>
      </c>
    </row>
    <row r="102" customFormat="false" ht="15" hidden="false" customHeight="false" outlineLevel="0" collapsed="false">
      <c r="A102" s="14" t="s">
        <v>362</v>
      </c>
      <c r="B102" s="15" t="s">
        <v>363</v>
      </c>
      <c r="C102" s="14" t="s">
        <v>153</v>
      </c>
      <c r="D102" s="14" t="s">
        <v>117</v>
      </c>
      <c r="E102" s="14" t="n">
        <v>8</v>
      </c>
      <c r="F102" s="16" t="n">
        <v>24</v>
      </c>
      <c r="G102" s="17" t="n">
        <v>147.2</v>
      </c>
      <c r="H102" s="18" t="n">
        <f aca="false">IF(ISNUMBER(G102),IFERROR(G102/F102,""),"")</f>
        <v>6.13333333333333</v>
      </c>
      <c r="I102" s="17" t="n">
        <v>12.9</v>
      </c>
      <c r="J102" s="17" t="n">
        <v>12.9</v>
      </c>
      <c r="K102" s="19" t="s">
        <v>64</v>
      </c>
      <c r="L102" s="20" t="n">
        <v>12.9</v>
      </c>
      <c r="M102" s="18" t="n">
        <f aca="false">IFERROR(L102*(1-Premissas!$B$5)*(1-Premissas!$B$6)-H102-Premissas!$B$7,"")</f>
        <v>4.99911666666667</v>
      </c>
      <c r="N102" s="21" t="n">
        <f aca="false">IFERROR(M102/L102,"")</f>
        <v>0.38752842377261</v>
      </c>
      <c r="O102" s="18" t="n">
        <f aca="false">IFERROR(L102*(1-Premissas!$B$8)-Premissas!$B$9-H102-Premissas!$B$7,"")</f>
        <v>-2.03133333333333</v>
      </c>
      <c r="P102" s="18" t="n">
        <f aca="false">IFERROR(L102*(1-Premissas!$B$10)-Premissas!$B$11-H102-Premissas!$B$7,"")</f>
        <v>-0.813333333333333</v>
      </c>
      <c r="Q102" s="18" t="n">
        <f aca="false">IFERROR(M102*F102,"")</f>
        <v>119.9788</v>
      </c>
      <c r="R102" s="22" t="n">
        <f aca="false">IFERROR(IF(M102&gt;0,ROUNDUP(Premissas!$B$12/M102,0),"sem lucro"),"")</f>
        <v>201</v>
      </c>
      <c r="S102" s="15" t="s">
        <v>252</v>
      </c>
      <c r="T102" s="23" t="s">
        <v>76</v>
      </c>
      <c r="U102" s="15"/>
      <c r="V102" s="18" t="n">
        <f aca="false">IF(AND(T102="S",ISNUMBER(L102),ISNUMBER(F102)),L102*F102*X102,0)</f>
        <v>0</v>
      </c>
      <c r="W102" s="18" t="n">
        <f aca="false">IF(AND(T102="S",ISNUMBER(Q102)),Q102*X102,0)</f>
        <v>0</v>
      </c>
      <c r="X102" s="23" t="n">
        <v>1</v>
      </c>
      <c r="Y102" s="18" t="n">
        <f aca="false">IF(AND(T102="S",ISNUMBER(G102)),G102*X102,0)</f>
        <v>0</v>
      </c>
    </row>
    <row r="103" customFormat="false" ht="15" hidden="false" customHeight="false" outlineLevel="0" collapsed="false">
      <c r="A103" s="14" t="s">
        <v>364</v>
      </c>
      <c r="B103" s="15" t="s">
        <v>365</v>
      </c>
      <c r="C103" s="14" t="s">
        <v>153</v>
      </c>
      <c r="D103" s="14" t="s">
        <v>157</v>
      </c>
      <c r="E103" s="14" t="n">
        <v>8</v>
      </c>
      <c r="F103" s="16" t="n">
        <v>24</v>
      </c>
      <c r="G103" s="17" t="n">
        <v>135.9</v>
      </c>
      <c r="H103" s="18" t="n">
        <f aca="false">IF(ISNUMBER(G103),IFERROR(G103/F103,""),"")</f>
        <v>5.6625</v>
      </c>
      <c r="I103" s="17" t="n">
        <v>12.9</v>
      </c>
      <c r="J103" s="17" t="n">
        <v>12.9</v>
      </c>
      <c r="K103" s="19" t="s">
        <v>64</v>
      </c>
      <c r="L103" s="20" t="n">
        <v>12.9</v>
      </c>
      <c r="M103" s="18" t="n">
        <f aca="false">IFERROR(L103*(1-Premissas!$B$5)*(1-Premissas!$B$6)-H103-Premissas!$B$7,"")</f>
        <v>5.46995</v>
      </c>
      <c r="N103" s="21" t="n">
        <f aca="false">IFERROR(M103/L103,"")</f>
        <v>0.424027131782946</v>
      </c>
      <c r="O103" s="18" t="n">
        <f aca="false">IFERROR(L103*(1-Premissas!$B$8)-Premissas!$B$9-H103-Premissas!$B$7,"")</f>
        <v>-1.5605</v>
      </c>
      <c r="P103" s="18" t="n">
        <f aca="false">IFERROR(L103*(1-Premissas!$B$10)-Premissas!$B$11-H103-Premissas!$B$7,"")</f>
        <v>-0.3425</v>
      </c>
      <c r="Q103" s="18" t="n">
        <f aca="false">IFERROR(M103*F103,"")</f>
        <v>131.2788</v>
      </c>
      <c r="R103" s="22" t="n">
        <f aca="false">IFERROR(IF(M103&gt;0,ROUNDUP(Premissas!$B$12/M103,0),"sem lucro"),"")</f>
        <v>183</v>
      </c>
      <c r="S103" s="15" t="s">
        <v>82</v>
      </c>
      <c r="T103" s="23" t="s">
        <v>76</v>
      </c>
      <c r="U103" s="15" t="s">
        <v>366</v>
      </c>
      <c r="V103" s="18" t="n">
        <f aca="false">IF(AND(T103="S",ISNUMBER(L103),ISNUMBER(F103)),L103*F103*X103,0)</f>
        <v>0</v>
      </c>
      <c r="W103" s="18" t="n">
        <f aca="false">IF(AND(T103="S",ISNUMBER(Q103)),Q103*X103,0)</f>
        <v>0</v>
      </c>
      <c r="X103" s="23" t="n">
        <v>1</v>
      </c>
      <c r="Y103" s="18" t="n">
        <f aca="false">IF(AND(T103="S",ISNUMBER(G103)),G103*X103,0)</f>
        <v>0</v>
      </c>
    </row>
    <row r="104" customFormat="false" ht="15" hidden="false" customHeight="false" outlineLevel="0" collapsed="false">
      <c r="A104" s="14" t="s">
        <v>367</v>
      </c>
      <c r="B104" s="15" t="s">
        <v>368</v>
      </c>
      <c r="C104" s="14" t="s">
        <v>319</v>
      </c>
      <c r="D104" s="14" t="s">
        <v>117</v>
      </c>
      <c r="E104" s="14" t="n">
        <v>8</v>
      </c>
      <c r="F104" s="16" t="n">
        <v>1</v>
      </c>
      <c r="G104" s="17" t="n">
        <v>5.7</v>
      </c>
      <c r="H104" s="18" t="n">
        <f aca="false">IF(ISNUMBER(G104),IFERROR(G104/F104,""),"")</f>
        <v>5.7</v>
      </c>
      <c r="I104" s="17" t="n">
        <v>5.5</v>
      </c>
      <c r="J104" s="17" t="n">
        <v>9.09</v>
      </c>
      <c r="K104" s="14" t="s">
        <v>93</v>
      </c>
      <c r="L104" s="20" t="n">
        <v>9.9</v>
      </c>
      <c r="M104" s="18" t="n">
        <f aca="false">IFERROR(L104*(1-Premissas!$B$5)*(1-Premissas!$B$6)-H104-Premissas!$B$7,"")</f>
        <v>2.61095</v>
      </c>
      <c r="N104" s="21" t="n">
        <f aca="false">IFERROR(M104/L104,"")</f>
        <v>0.263732323232323</v>
      </c>
      <c r="O104" s="18" t="n">
        <f aca="false">IFERROR(L104*(1-Premissas!$B$8)-Premissas!$B$9-H104-Premissas!$B$7,"")</f>
        <v>-4.238</v>
      </c>
      <c r="P104" s="18" t="n">
        <f aca="false">IFERROR(L104*(1-Premissas!$B$10)-Premissas!$B$11-H104-Premissas!$B$7,"")</f>
        <v>-2.78</v>
      </c>
      <c r="Q104" s="18" t="n">
        <f aca="false">IFERROR(M104*F104,"")</f>
        <v>2.61095</v>
      </c>
      <c r="R104" s="22" t="n">
        <f aca="false">IFERROR(IF(M104&gt;0,ROUNDUP(Premissas!$B$12/M104,0),"sem lucro"),"")</f>
        <v>384</v>
      </c>
      <c r="S104" s="15" t="s">
        <v>111</v>
      </c>
      <c r="T104" s="23" t="s">
        <v>76</v>
      </c>
      <c r="U104" s="15" t="s">
        <v>369</v>
      </c>
      <c r="V104" s="18" t="n">
        <f aca="false">IF(AND(T104="S",ISNUMBER(L104),ISNUMBER(F104)),L104*F104*X104,0)</f>
        <v>0</v>
      </c>
      <c r="W104" s="18" t="n">
        <f aca="false">IF(AND(T104="S",ISNUMBER(Q104)),Q104*X104,0)</f>
        <v>0</v>
      </c>
      <c r="X104" s="23" t="n">
        <v>12</v>
      </c>
      <c r="Y104" s="18" t="n">
        <f aca="false">IF(AND(T104="S",ISNUMBER(G104)),G104*X104,0)</f>
        <v>0</v>
      </c>
    </row>
    <row r="105" customFormat="false" ht="15" hidden="false" customHeight="false" outlineLevel="0" collapsed="false">
      <c r="A105" s="14" t="s">
        <v>370</v>
      </c>
      <c r="B105" s="15" t="s">
        <v>371</v>
      </c>
      <c r="C105" s="14" t="s">
        <v>319</v>
      </c>
      <c r="D105" s="14" t="s">
        <v>125</v>
      </c>
      <c r="E105" s="14" t="n">
        <v>8</v>
      </c>
      <c r="F105" s="16" t="n">
        <v>24</v>
      </c>
      <c r="G105" s="17" t="n">
        <v>123.7</v>
      </c>
      <c r="H105" s="18" t="n">
        <f aca="false">IF(ISNUMBER(G105),IFERROR(G105/F105,""),"")</f>
        <v>5.15416666666667</v>
      </c>
      <c r="I105" s="17" t="n">
        <v>12.9</v>
      </c>
      <c r="J105" s="17" t="n">
        <v>12.9</v>
      </c>
      <c r="K105" s="19" t="s">
        <v>64</v>
      </c>
      <c r="L105" s="20" t="n">
        <v>12.9</v>
      </c>
      <c r="M105" s="18" t="n">
        <f aca="false">IFERROR(L105*(1-Premissas!$B$5)*(1-Premissas!$B$6)-H105-Premissas!$B$7,"")</f>
        <v>5.97828333333333</v>
      </c>
      <c r="N105" s="21" t="n">
        <f aca="false">IFERROR(M105/L105,"")</f>
        <v>0.463432816537468</v>
      </c>
      <c r="O105" s="18" t="n">
        <f aca="false">IFERROR(L105*(1-Premissas!$B$8)-Premissas!$B$9-H105-Premissas!$B$7,"")</f>
        <v>-1.05216666666667</v>
      </c>
      <c r="P105" s="18" t="n">
        <f aca="false">IFERROR(L105*(1-Premissas!$B$10)-Premissas!$B$11-H105-Premissas!$B$7,"")</f>
        <v>0.165833333333334</v>
      </c>
      <c r="Q105" s="18" t="n">
        <f aca="false">IFERROR(M105*F105,"")</f>
        <v>143.4788</v>
      </c>
      <c r="R105" s="22" t="n">
        <f aca="false">IFERROR(IF(M105&gt;0,ROUNDUP(Premissas!$B$12/M105,0),"sem lucro"),"")</f>
        <v>168</v>
      </c>
      <c r="S105" s="15" t="s">
        <v>82</v>
      </c>
      <c r="T105" s="23" t="s">
        <v>76</v>
      </c>
      <c r="U105" s="15"/>
      <c r="V105" s="18" t="n">
        <f aca="false">IF(AND(T105="S",ISNUMBER(L105),ISNUMBER(F105)),L105*F105*X105,0)</f>
        <v>0</v>
      </c>
      <c r="W105" s="18" t="n">
        <f aca="false">IF(AND(T105="S",ISNUMBER(Q105)),Q105*X105,0)</f>
        <v>0</v>
      </c>
      <c r="X105" s="23" t="n">
        <v>1</v>
      </c>
      <c r="Y105" s="18" t="n">
        <f aca="false">IF(AND(T105="S",ISNUMBER(G105)),G105*X105,0)</f>
        <v>0</v>
      </c>
    </row>
    <row r="106" customFormat="false" ht="15" hidden="false" customHeight="false" outlineLevel="0" collapsed="false">
      <c r="A106" s="14" t="s">
        <v>372</v>
      </c>
      <c r="B106" s="15" t="s">
        <v>373</v>
      </c>
      <c r="C106" s="14" t="s">
        <v>319</v>
      </c>
      <c r="D106" s="14" t="s">
        <v>125</v>
      </c>
      <c r="E106" s="14" t="n">
        <v>8</v>
      </c>
      <c r="F106" s="16" t="n">
        <v>24</v>
      </c>
      <c r="G106" s="17" t="n">
        <v>123.7</v>
      </c>
      <c r="H106" s="18" t="n">
        <f aca="false">IF(ISNUMBER(G106),IFERROR(G106/F106,""),"")</f>
        <v>5.15416666666667</v>
      </c>
      <c r="I106" s="17" t="n">
        <v>12.9</v>
      </c>
      <c r="J106" s="17" t="n">
        <v>12.9</v>
      </c>
      <c r="K106" s="19" t="s">
        <v>64</v>
      </c>
      <c r="L106" s="20" t="n">
        <v>12.9</v>
      </c>
      <c r="M106" s="18" t="n">
        <f aca="false">IFERROR(L106*(1-Premissas!$B$5)*(1-Premissas!$B$6)-H106-Premissas!$B$7,"")</f>
        <v>5.97828333333333</v>
      </c>
      <c r="N106" s="21" t="n">
        <f aca="false">IFERROR(M106/L106,"")</f>
        <v>0.463432816537468</v>
      </c>
      <c r="O106" s="18" t="n">
        <f aca="false">IFERROR(L106*(1-Premissas!$B$8)-Premissas!$B$9-H106-Premissas!$B$7,"")</f>
        <v>-1.05216666666667</v>
      </c>
      <c r="P106" s="18" t="n">
        <f aca="false">IFERROR(L106*(1-Premissas!$B$10)-Premissas!$B$11-H106-Premissas!$B$7,"")</f>
        <v>0.165833333333334</v>
      </c>
      <c r="Q106" s="18" t="n">
        <f aca="false">IFERROR(M106*F106,"")</f>
        <v>143.4788</v>
      </c>
      <c r="R106" s="22" t="n">
        <f aca="false">IFERROR(IF(M106&gt;0,ROUNDUP(Premissas!$B$12/M106,0),"sem lucro"),"")</f>
        <v>168</v>
      </c>
      <c r="S106" s="15" t="s">
        <v>374</v>
      </c>
      <c r="T106" s="23" t="s">
        <v>66</v>
      </c>
      <c r="U106" s="15" t="s">
        <v>375</v>
      </c>
      <c r="V106" s="18" t="n">
        <f aca="false">IF(AND(T106="S",ISNUMBER(L106),ISNUMBER(F106)),L106*F106*X106,0)</f>
        <v>309.6</v>
      </c>
      <c r="W106" s="18" t="n">
        <f aca="false">IF(AND(T106="S",ISNUMBER(Q106)),Q106*X106,0)</f>
        <v>143.4788</v>
      </c>
      <c r="X106" s="23" t="n">
        <v>1</v>
      </c>
      <c r="Y106" s="18" t="n">
        <f aca="false">IF(AND(T106="S",ISNUMBER(G106)),G106*X106,0)</f>
        <v>123.7</v>
      </c>
    </row>
    <row r="107" customFormat="false" ht="15" hidden="false" customHeight="false" outlineLevel="0" collapsed="false">
      <c r="A107" s="14" t="s">
        <v>376</v>
      </c>
      <c r="B107" s="15" t="s">
        <v>377</v>
      </c>
      <c r="C107" s="14" t="s">
        <v>319</v>
      </c>
      <c r="D107" s="14" t="s">
        <v>117</v>
      </c>
      <c r="E107" s="14" t="n">
        <v>8</v>
      </c>
      <c r="F107" s="16" t="n">
        <v>1</v>
      </c>
      <c r="G107" s="17" t="n">
        <v>5.2</v>
      </c>
      <c r="H107" s="18" t="n">
        <f aca="false">IF(ISNUMBER(G107),IFERROR(G107/F107,""),"")</f>
        <v>5.2</v>
      </c>
      <c r="I107" s="17" t="n">
        <v>11.5</v>
      </c>
      <c r="J107" s="17" t="n">
        <v>11.5</v>
      </c>
      <c r="K107" s="14" t="s">
        <v>93</v>
      </c>
      <c r="L107" s="20" t="n">
        <v>11.9</v>
      </c>
      <c r="M107" s="18" t="n">
        <f aca="false">IFERROR(L107*(1-Premissas!$B$5)*(1-Premissas!$B$6)-H107-Premissas!$B$7,"")</f>
        <v>4.99195</v>
      </c>
      <c r="N107" s="21" t="n">
        <f aca="false">IFERROR(M107/L107,"")</f>
        <v>0.419491596638656</v>
      </c>
      <c r="O107" s="18" t="n">
        <f aca="false">IFERROR(L107*(1-Premissas!$B$8)-Premissas!$B$9-H107-Premissas!$B$7,"")</f>
        <v>-1.978</v>
      </c>
      <c r="P107" s="18" t="n">
        <f aca="false">IFERROR(L107*(1-Premissas!$B$10)-Premissas!$B$11-H107-Premissas!$B$7,"")</f>
        <v>-0.679999999999999</v>
      </c>
      <c r="Q107" s="18" t="n">
        <f aca="false">IFERROR(M107*F107,"")</f>
        <v>4.99195</v>
      </c>
      <c r="R107" s="22" t="n">
        <f aca="false">IFERROR(IF(M107&gt;0,ROUNDUP(Premissas!$B$12/M107,0),"sem lucro"),"")</f>
        <v>201</v>
      </c>
      <c r="S107" s="15" t="s">
        <v>82</v>
      </c>
      <c r="T107" s="23" t="s">
        <v>76</v>
      </c>
      <c r="U107" s="15" t="s">
        <v>378</v>
      </c>
      <c r="V107" s="18" t="n">
        <f aca="false">IF(AND(T107="S",ISNUMBER(L107),ISNUMBER(F107)),L107*F107*X107,0)</f>
        <v>0</v>
      </c>
      <c r="W107" s="18" t="n">
        <f aca="false">IF(AND(T107="S",ISNUMBER(Q107)),Q107*X107,0)</f>
        <v>0</v>
      </c>
      <c r="X107" s="23" t="n">
        <v>12</v>
      </c>
      <c r="Y107" s="18" t="n">
        <f aca="false">IF(AND(T107="S",ISNUMBER(G107)),G107*X107,0)</f>
        <v>0</v>
      </c>
    </row>
    <row r="108" customFormat="false" ht="15" hidden="false" customHeight="false" outlineLevel="0" collapsed="false">
      <c r="A108" s="14" t="s">
        <v>379</v>
      </c>
      <c r="B108" s="15" t="s">
        <v>380</v>
      </c>
      <c r="C108" s="14" t="s">
        <v>178</v>
      </c>
      <c r="D108" s="14" t="s">
        <v>117</v>
      </c>
      <c r="E108" s="14" t="n">
        <v>8</v>
      </c>
      <c r="F108" s="16" t="n">
        <v>24</v>
      </c>
      <c r="G108" s="17" t="n">
        <v>139.99</v>
      </c>
      <c r="H108" s="18" t="n">
        <f aca="false">IF(ISNUMBER(G108),IFERROR(G108/F108,""),"")</f>
        <v>5.83291666666667</v>
      </c>
      <c r="I108" s="17" t="n">
        <v>7.52</v>
      </c>
      <c r="J108" s="17" t="n">
        <v>10</v>
      </c>
      <c r="K108" s="19" t="s">
        <v>64</v>
      </c>
      <c r="L108" s="20" t="n">
        <v>11.9</v>
      </c>
      <c r="M108" s="18" t="n">
        <f aca="false">IFERROR(L108*(1-Premissas!$B$5)*(1-Premissas!$B$6)-H108-Premissas!$B$7,"")</f>
        <v>4.35903333333333</v>
      </c>
      <c r="N108" s="21" t="n">
        <f aca="false">IFERROR(M108/L108,"")</f>
        <v>0.366305322128852</v>
      </c>
      <c r="O108" s="18" t="n">
        <f aca="false">IFERROR(L108*(1-Premissas!$B$8)-Premissas!$B$9-H108-Premissas!$B$7,"")</f>
        <v>-2.61091666666667</v>
      </c>
      <c r="P108" s="18" t="n">
        <f aca="false">IFERROR(L108*(1-Premissas!$B$10)-Premissas!$B$11-H108-Premissas!$B$7,"")</f>
        <v>-1.31291666666667</v>
      </c>
      <c r="Q108" s="18" t="n">
        <f aca="false">IFERROR(M108*F108,"")</f>
        <v>104.6168</v>
      </c>
      <c r="R108" s="22" t="n">
        <f aca="false">IFERROR(IF(M108&gt;0,ROUNDUP(Premissas!$B$12/M108,0),"sem lucro"),"")</f>
        <v>230</v>
      </c>
      <c r="S108" s="15" t="s">
        <v>252</v>
      </c>
      <c r="T108" s="23" t="s">
        <v>76</v>
      </c>
      <c r="U108" s="15"/>
      <c r="V108" s="18" t="n">
        <f aca="false">IF(AND(T108="S",ISNUMBER(L108),ISNUMBER(F108)),L108*F108*X108,0)</f>
        <v>0</v>
      </c>
      <c r="W108" s="18" t="n">
        <f aca="false">IF(AND(T108="S",ISNUMBER(Q108)),Q108*X108,0)</f>
        <v>0</v>
      </c>
      <c r="X108" s="23" t="n">
        <v>1</v>
      </c>
      <c r="Y108" s="18" t="n">
        <f aca="false">IF(AND(T108="S",ISNUMBER(G108)),G108*X108,0)</f>
        <v>0</v>
      </c>
    </row>
    <row r="109" customFormat="false" ht="15" hidden="false" customHeight="false" outlineLevel="0" collapsed="false">
      <c r="A109" s="14" t="s">
        <v>381</v>
      </c>
      <c r="B109" s="15" t="s">
        <v>382</v>
      </c>
      <c r="C109" s="14" t="s">
        <v>178</v>
      </c>
      <c r="D109" s="14" t="s">
        <v>63</v>
      </c>
      <c r="E109" s="14" t="n">
        <v>8</v>
      </c>
      <c r="F109" s="16" t="n">
        <v>15</v>
      </c>
      <c r="G109" s="17" t="n">
        <v>76.8</v>
      </c>
      <c r="H109" s="18" t="n">
        <f aca="false">IF(ISNUMBER(G109),IFERROR(G109/F109,""),"")</f>
        <v>5.12</v>
      </c>
      <c r="I109" s="17" t="n">
        <v>12.9</v>
      </c>
      <c r="J109" s="17" t="n">
        <v>12.9</v>
      </c>
      <c r="K109" s="19" t="s">
        <v>64</v>
      </c>
      <c r="L109" s="20" t="n">
        <v>12.9</v>
      </c>
      <c r="M109" s="18" t="n">
        <f aca="false">IFERROR(L109*(1-Premissas!$B$5)*(1-Premissas!$B$6)-H109-Premissas!$B$7,"")</f>
        <v>6.01245</v>
      </c>
      <c r="N109" s="21" t="n">
        <f aca="false">IFERROR(M109/L109,"")</f>
        <v>0.466081395348837</v>
      </c>
      <c r="O109" s="18" t="n">
        <f aca="false">IFERROR(L109*(1-Premissas!$B$8)-Premissas!$B$9-H109-Premissas!$B$7,"")</f>
        <v>-1.018</v>
      </c>
      <c r="P109" s="18" t="n">
        <f aca="false">IFERROR(L109*(1-Premissas!$B$10)-Premissas!$B$11-H109-Premissas!$B$7,"")</f>
        <v>0.2</v>
      </c>
      <c r="Q109" s="18" t="n">
        <f aca="false">IFERROR(M109*F109,"")</f>
        <v>90.18675</v>
      </c>
      <c r="R109" s="22" t="n">
        <f aca="false">IFERROR(IF(M109&gt;0,ROUNDUP(Premissas!$B$12/M109,0),"sem lucro"),"")</f>
        <v>167</v>
      </c>
      <c r="S109" s="15" t="s">
        <v>82</v>
      </c>
      <c r="T109" s="23" t="s">
        <v>76</v>
      </c>
      <c r="U109" s="15" t="s">
        <v>383</v>
      </c>
      <c r="V109" s="18" t="n">
        <f aca="false">IF(AND(T109="S",ISNUMBER(L109),ISNUMBER(F109)),L109*F109*X109,0)</f>
        <v>0</v>
      </c>
      <c r="W109" s="18" t="n">
        <f aca="false">IF(AND(T109="S",ISNUMBER(Q109)),Q109*X109,0)</f>
        <v>0</v>
      </c>
      <c r="X109" s="23" t="n">
        <v>1</v>
      </c>
      <c r="Y109" s="18" t="n">
        <f aca="false">IF(AND(T109="S",ISNUMBER(G109)),G109*X109,0)</f>
        <v>0</v>
      </c>
    </row>
    <row r="110" customFormat="false" ht="26.85" hidden="false" customHeight="false" outlineLevel="0" collapsed="false">
      <c r="A110" s="14" t="s">
        <v>384</v>
      </c>
      <c r="B110" s="15" t="s">
        <v>385</v>
      </c>
      <c r="C110" s="14" t="s">
        <v>386</v>
      </c>
      <c r="D110" s="14" t="s">
        <v>141</v>
      </c>
      <c r="E110" s="14" t="n">
        <v>8</v>
      </c>
      <c r="F110" s="16" t="n">
        <v>1</v>
      </c>
      <c r="G110" s="17" t="n">
        <v>6.8</v>
      </c>
      <c r="H110" s="18" t="n">
        <f aca="false">IF(ISNUMBER(G110),IFERROR(G110/F110,""),"")</f>
        <v>6.8</v>
      </c>
      <c r="I110" s="17" t="n">
        <v>19.9</v>
      </c>
      <c r="J110" s="17" t="n">
        <v>24.9</v>
      </c>
      <c r="K110" s="19" t="s">
        <v>64</v>
      </c>
      <c r="L110" s="20" t="n">
        <v>22.9</v>
      </c>
      <c r="M110" s="18" t="n">
        <f aca="false">IFERROR(L110*(1-Premissas!$B$5)*(1-Premissas!$B$6)-H110-Premissas!$B$7,"")</f>
        <v>13.73745</v>
      </c>
      <c r="N110" s="21" t="n">
        <f aca="false">IFERROR(M110/L110,"")</f>
        <v>0.59988864628821</v>
      </c>
      <c r="O110" s="18" t="n">
        <f aca="false">IFERROR(L110*(1-Premissas!$B$8)-Premissas!$B$9-H110-Premissas!$B$7,"")</f>
        <v>6.102</v>
      </c>
      <c r="P110" s="18" t="n">
        <f aca="false">IFERROR(L110*(1-Premissas!$B$10)-Premissas!$B$11-H110-Premissas!$B$7,"")</f>
        <v>6.52</v>
      </c>
      <c r="Q110" s="18" t="n">
        <f aca="false">IFERROR(M110*F110,"")</f>
        <v>13.73745</v>
      </c>
      <c r="R110" s="22" t="n">
        <f aca="false">IFERROR(IF(M110&gt;0,ROUNDUP(Premissas!$B$12/M110,0),"sem lucro"),"")</f>
        <v>73</v>
      </c>
      <c r="S110" s="15" t="s">
        <v>82</v>
      </c>
      <c r="T110" s="23" t="s">
        <v>76</v>
      </c>
      <c r="U110" s="15" t="s">
        <v>387</v>
      </c>
      <c r="V110" s="18" t="n">
        <f aca="false">IF(AND(T110="S",ISNUMBER(L110),ISNUMBER(F110)),L110*F110*X110,0)</f>
        <v>0</v>
      </c>
      <c r="W110" s="18" t="n">
        <f aca="false">IF(AND(T110="S",ISNUMBER(Q110)),Q110*X110,0)</f>
        <v>0</v>
      </c>
      <c r="X110" s="23" t="n">
        <v>12</v>
      </c>
      <c r="Y110" s="18" t="n">
        <f aca="false">IF(AND(T110="S",ISNUMBER(G110)),G110*X110,0)</f>
        <v>0</v>
      </c>
    </row>
    <row r="111" customFormat="false" ht="15" hidden="false" customHeight="false" outlineLevel="0" collapsed="false">
      <c r="A111" s="14" t="s">
        <v>388</v>
      </c>
      <c r="B111" s="15" t="s">
        <v>389</v>
      </c>
      <c r="C111" s="14" t="s">
        <v>133</v>
      </c>
      <c r="D111" s="14" t="s">
        <v>117</v>
      </c>
      <c r="E111" s="14" t="n">
        <v>9</v>
      </c>
      <c r="F111" s="16" t="n">
        <v>24</v>
      </c>
      <c r="G111" s="17" t="n">
        <v>130.99</v>
      </c>
      <c r="H111" s="18" t="n">
        <f aca="false">IF(ISNUMBER(G111),IFERROR(G111/F111,""),"")</f>
        <v>5.45791666666667</v>
      </c>
      <c r="I111" s="17" t="n">
        <v>9</v>
      </c>
      <c r="J111" s="17" t="n">
        <v>10</v>
      </c>
      <c r="K111" s="14" t="s">
        <v>93</v>
      </c>
      <c r="L111" s="20" t="n">
        <v>9.9</v>
      </c>
      <c r="M111" s="18" t="n">
        <f aca="false">IFERROR(L111*(1-Premissas!$B$5)*(1-Premissas!$B$6)-H111-Premissas!$B$7,"")</f>
        <v>2.85303333333333</v>
      </c>
      <c r="N111" s="21" t="n">
        <f aca="false">IFERROR(M111/L111,"")</f>
        <v>0.288185185185185</v>
      </c>
      <c r="O111" s="18" t="n">
        <f aca="false">IFERROR(L111*(1-Premissas!$B$8)-Premissas!$B$9-H111-Premissas!$B$7,"")</f>
        <v>-3.99591666666667</v>
      </c>
      <c r="P111" s="18" t="n">
        <f aca="false">IFERROR(L111*(1-Premissas!$B$10)-Premissas!$B$11-H111-Premissas!$B$7,"")</f>
        <v>-2.53791666666667</v>
      </c>
      <c r="Q111" s="18" t="n">
        <f aca="false">IFERROR(M111*F111,"")</f>
        <v>68.4728</v>
      </c>
      <c r="R111" s="22" t="n">
        <f aca="false">IFERROR(IF(M111&gt;0,ROUNDUP(Premissas!$B$12/M111,0),"sem lucro"),"")</f>
        <v>351</v>
      </c>
      <c r="S111" s="15" t="s">
        <v>390</v>
      </c>
      <c r="T111" s="23" t="s">
        <v>76</v>
      </c>
      <c r="U111" s="15" t="s">
        <v>391</v>
      </c>
      <c r="V111" s="18" t="n">
        <f aca="false">IF(AND(T111="S",ISNUMBER(L111),ISNUMBER(F111)),L111*F111*X111,0)</f>
        <v>0</v>
      </c>
      <c r="W111" s="18" t="n">
        <f aca="false">IF(AND(T111="S",ISNUMBER(Q111)),Q111*X111,0)</f>
        <v>0</v>
      </c>
      <c r="X111" s="23" t="n">
        <v>1</v>
      </c>
      <c r="Y111" s="18" t="n">
        <f aca="false">IF(AND(T111="S",ISNUMBER(G111)),G111*X111,0)</f>
        <v>0</v>
      </c>
    </row>
    <row r="112" customFormat="false" ht="15" hidden="false" customHeight="false" outlineLevel="0" collapsed="false">
      <c r="A112" s="14" t="s">
        <v>392</v>
      </c>
      <c r="B112" s="15" t="s">
        <v>393</v>
      </c>
      <c r="C112" s="14" t="s">
        <v>394</v>
      </c>
      <c r="D112" s="14" t="s">
        <v>63</v>
      </c>
      <c r="E112" s="14" t="n">
        <v>9</v>
      </c>
      <c r="F112" s="16" t="n">
        <v>24</v>
      </c>
      <c r="G112" s="17" t="n">
        <v>116.7</v>
      </c>
      <c r="H112" s="18" t="n">
        <f aca="false">IF(ISNUMBER(G112),IFERROR(G112/F112,""),"")</f>
        <v>4.8625</v>
      </c>
      <c r="I112" s="17" t="n">
        <v>12.9</v>
      </c>
      <c r="J112" s="17" t="n">
        <v>12.9</v>
      </c>
      <c r="K112" s="19" t="s">
        <v>64</v>
      </c>
      <c r="L112" s="20" t="n">
        <v>12.9</v>
      </c>
      <c r="M112" s="18" t="n">
        <f aca="false">IFERROR(L112*(1-Premissas!$B$5)*(1-Premissas!$B$6)-H112-Premissas!$B$7,"")</f>
        <v>6.26995</v>
      </c>
      <c r="N112" s="21" t="n">
        <f aca="false">IFERROR(M112/L112,"")</f>
        <v>0.486042635658915</v>
      </c>
      <c r="O112" s="18" t="n">
        <f aca="false">IFERROR(L112*(1-Premissas!$B$8)-Premissas!$B$9-H112-Premissas!$B$7,"")</f>
        <v>-0.7605</v>
      </c>
      <c r="P112" s="18" t="n">
        <f aca="false">IFERROR(L112*(1-Premissas!$B$10)-Premissas!$B$11-H112-Premissas!$B$7,"")</f>
        <v>0.4575</v>
      </c>
      <c r="Q112" s="18" t="n">
        <f aca="false">IFERROR(M112*F112,"")</f>
        <v>150.4788</v>
      </c>
      <c r="R112" s="22" t="n">
        <f aca="false">IFERROR(IF(M112&gt;0,ROUNDUP(Premissas!$B$12/M112,0),"sem lucro"),"")</f>
        <v>160</v>
      </c>
      <c r="S112" s="15" t="s">
        <v>82</v>
      </c>
      <c r="T112" s="23" t="s">
        <v>76</v>
      </c>
      <c r="U112" s="15" t="s">
        <v>395</v>
      </c>
      <c r="V112" s="18" t="n">
        <f aca="false">IF(AND(T112="S",ISNUMBER(L112),ISNUMBER(F112)),L112*F112*X112,0)</f>
        <v>0</v>
      </c>
      <c r="W112" s="18" t="n">
        <f aca="false">IF(AND(T112="S",ISNUMBER(Q112)),Q112*X112,0)</f>
        <v>0</v>
      </c>
      <c r="X112" s="23" t="n">
        <v>1</v>
      </c>
      <c r="Y112" s="18" t="n">
        <f aca="false">IF(AND(T112="S",ISNUMBER(G112)),G112*X112,0)</f>
        <v>0</v>
      </c>
    </row>
    <row r="113" customFormat="false" ht="15" hidden="false" customHeight="false" outlineLevel="0" collapsed="false">
      <c r="A113" s="14" t="s">
        <v>396</v>
      </c>
      <c r="B113" s="15" t="s">
        <v>397</v>
      </c>
      <c r="C113" s="14" t="s">
        <v>316</v>
      </c>
      <c r="D113" s="14" t="s">
        <v>117</v>
      </c>
      <c r="E113" s="14" t="n">
        <v>9</v>
      </c>
      <c r="F113" s="16" t="n">
        <v>24</v>
      </c>
      <c r="G113" s="17" t="n">
        <v>145.8</v>
      </c>
      <c r="H113" s="18" t="n">
        <f aca="false">IF(ISNUMBER(G113),IFERROR(G113/F113,""),"")</f>
        <v>6.075</v>
      </c>
      <c r="I113" s="17" t="n">
        <v>12.9</v>
      </c>
      <c r="J113" s="17" t="n">
        <v>12.9</v>
      </c>
      <c r="K113" s="19" t="s">
        <v>64</v>
      </c>
      <c r="L113" s="20" t="n">
        <v>12.9</v>
      </c>
      <c r="M113" s="18" t="n">
        <f aca="false">IFERROR(L113*(1-Premissas!$B$5)*(1-Premissas!$B$6)-H113-Premissas!$B$7,"")</f>
        <v>5.05745</v>
      </c>
      <c r="N113" s="21" t="n">
        <f aca="false">IFERROR(M113/L113,"")</f>
        <v>0.392050387596899</v>
      </c>
      <c r="O113" s="18" t="n">
        <f aca="false">IFERROR(L113*(1-Premissas!$B$8)-Premissas!$B$9-H113-Premissas!$B$7,"")</f>
        <v>-1.973</v>
      </c>
      <c r="P113" s="18" t="n">
        <f aca="false">IFERROR(L113*(1-Premissas!$B$10)-Premissas!$B$11-H113-Premissas!$B$7,"")</f>
        <v>-0.755</v>
      </c>
      <c r="Q113" s="18" t="n">
        <f aca="false">IFERROR(M113*F113,"")</f>
        <v>121.3788</v>
      </c>
      <c r="R113" s="22" t="n">
        <f aca="false">IFERROR(IF(M113&gt;0,ROUNDUP(Premissas!$B$12/M113,0),"sem lucro"),"")</f>
        <v>198</v>
      </c>
      <c r="S113" s="15" t="s">
        <v>252</v>
      </c>
      <c r="T113" s="23" t="s">
        <v>76</v>
      </c>
      <c r="U113" s="15" t="s">
        <v>398</v>
      </c>
      <c r="V113" s="18" t="n">
        <f aca="false">IF(AND(T113="S",ISNUMBER(L113),ISNUMBER(F113)),L113*F113*X113,0)</f>
        <v>0</v>
      </c>
      <c r="W113" s="18" t="n">
        <f aca="false">IF(AND(T113="S",ISNUMBER(Q113)),Q113*X113,0)</f>
        <v>0</v>
      </c>
      <c r="X113" s="23" t="n">
        <v>1</v>
      </c>
      <c r="Y113" s="18" t="n">
        <f aca="false">IF(AND(T113="S",ISNUMBER(G113)),G113*X113,0)</f>
        <v>0</v>
      </c>
    </row>
    <row r="114" customFormat="false" ht="15" hidden="false" customHeight="false" outlineLevel="0" collapsed="false">
      <c r="A114" s="14" t="s">
        <v>399</v>
      </c>
      <c r="B114" s="15" t="s">
        <v>400</v>
      </c>
      <c r="C114" s="14" t="s">
        <v>401</v>
      </c>
      <c r="D114" s="14" t="s">
        <v>117</v>
      </c>
      <c r="E114" s="14" t="n">
        <v>10</v>
      </c>
      <c r="F114" s="16" t="n">
        <v>1</v>
      </c>
      <c r="G114" s="17" t="n">
        <v>6.3</v>
      </c>
      <c r="H114" s="18" t="n">
        <f aca="false">IF(ISNUMBER(G114),IFERROR(G114/F114,""),"")</f>
        <v>6.3</v>
      </c>
      <c r="I114" s="17" t="n">
        <v>9.9</v>
      </c>
      <c r="J114" s="17" t="n">
        <v>9.9</v>
      </c>
      <c r="K114" s="19" t="s">
        <v>64</v>
      </c>
      <c r="L114" s="20" t="n">
        <v>9.9</v>
      </c>
      <c r="M114" s="18" t="n">
        <f aca="false">IFERROR(L114*(1-Premissas!$B$5)*(1-Premissas!$B$6)-H114-Premissas!$B$7,"")</f>
        <v>2.01095</v>
      </c>
      <c r="N114" s="21" t="n">
        <f aca="false">IFERROR(M114/L114,"")</f>
        <v>0.203126262626263</v>
      </c>
      <c r="O114" s="18" t="n">
        <f aca="false">IFERROR(L114*(1-Premissas!$B$8)-Premissas!$B$9-H114-Premissas!$B$7,"")</f>
        <v>-4.838</v>
      </c>
      <c r="P114" s="18" t="n">
        <f aca="false">IFERROR(L114*(1-Premissas!$B$10)-Premissas!$B$11-H114-Premissas!$B$7,"")</f>
        <v>-3.38</v>
      </c>
      <c r="Q114" s="18" t="n">
        <f aca="false">IFERROR(M114*F114,"")</f>
        <v>2.01095</v>
      </c>
      <c r="R114" s="22" t="n">
        <f aca="false">IFERROR(IF(M114&gt;0,ROUNDUP(Premissas!$B$12/M114,0),"sem lucro"),"")</f>
        <v>498</v>
      </c>
      <c r="S114" s="15" t="s">
        <v>402</v>
      </c>
      <c r="T114" s="23" t="s">
        <v>76</v>
      </c>
      <c r="U114" s="15"/>
      <c r="V114" s="18" t="n">
        <f aca="false">IF(AND(T114="S",ISNUMBER(L114),ISNUMBER(F114)),L114*F114*X114,0)</f>
        <v>0</v>
      </c>
      <c r="W114" s="18" t="n">
        <f aca="false">IF(AND(T114="S",ISNUMBER(Q114)),Q114*X114,0)</f>
        <v>0</v>
      </c>
      <c r="X114" s="23" t="n">
        <v>12</v>
      </c>
      <c r="Y114" s="18" t="n">
        <f aca="false">IF(AND(T114="S",ISNUMBER(G114)),G114*X114,0)</f>
        <v>0</v>
      </c>
    </row>
    <row r="115" customFormat="false" ht="15" hidden="false" customHeight="false" outlineLevel="0" collapsed="false">
      <c r="A115" s="14" t="s">
        <v>403</v>
      </c>
      <c r="B115" s="15" t="s">
        <v>404</v>
      </c>
      <c r="C115" s="14" t="s">
        <v>401</v>
      </c>
      <c r="D115" s="14" t="s">
        <v>117</v>
      </c>
      <c r="E115" s="14" t="n">
        <v>10</v>
      </c>
      <c r="F115" s="16" t="n">
        <v>36</v>
      </c>
      <c r="G115" s="17" t="n">
        <v>198.6</v>
      </c>
      <c r="H115" s="18" t="n">
        <f aca="false">IF(ISNUMBER(G115),IFERROR(G115/F115,""),"")</f>
        <v>5.51666666666667</v>
      </c>
      <c r="I115" s="17" t="n">
        <v>12.9</v>
      </c>
      <c r="J115" s="17" t="n">
        <v>12.9</v>
      </c>
      <c r="K115" s="19" t="s">
        <v>64</v>
      </c>
      <c r="L115" s="20" t="n">
        <v>12.9</v>
      </c>
      <c r="M115" s="18" t="n">
        <f aca="false">IFERROR(L115*(1-Premissas!$B$5)*(1-Premissas!$B$6)-H115-Premissas!$B$7,"")</f>
        <v>5.61578333333333</v>
      </c>
      <c r="N115" s="21" t="n">
        <f aca="false">IFERROR(M115/L115,"")</f>
        <v>0.435332041343669</v>
      </c>
      <c r="O115" s="18" t="n">
        <f aca="false">IFERROR(L115*(1-Premissas!$B$8)-Premissas!$B$9-H115-Premissas!$B$7,"")</f>
        <v>-1.41466666666667</v>
      </c>
      <c r="P115" s="18" t="n">
        <f aca="false">IFERROR(L115*(1-Premissas!$B$10)-Premissas!$B$11-H115-Premissas!$B$7,"")</f>
        <v>-0.196666666666666</v>
      </c>
      <c r="Q115" s="18" t="n">
        <f aca="false">IFERROR(M115*F115,"")</f>
        <v>202.1682</v>
      </c>
      <c r="R115" s="22" t="n">
        <f aca="false">IFERROR(IF(M115&gt;0,ROUNDUP(Premissas!$B$12/M115,0),"sem lucro"),"")</f>
        <v>179</v>
      </c>
      <c r="S115" s="15" t="s">
        <v>252</v>
      </c>
      <c r="T115" s="23" t="s">
        <v>76</v>
      </c>
      <c r="U115" s="15" t="s">
        <v>256</v>
      </c>
      <c r="V115" s="18" t="n">
        <f aca="false">IF(AND(T115="S",ISNUMBER(L115),ISNUMBER(F115)),L115*F115*X115,0)</f>
        <v>0</v>
      </c>
      <c r="W115" s="18" t="n">
        <f aca="false">IF(AND(T115="S",ISNUMBER(Q115)),Q115*X115,0)</f>
        <v>0</v>
      </c>
      <c r="X115" s="23" t="n">
        <v>1</v>
      </c>
      <c r="Y115" s="18" t="n">
        <f aca="false">IF(AND(T115="S",ISNUMBER(G115)),G115*X115,0)</f>
        <v>0</v>
      </c>
    </row>
    <row r="116" customFormat="false" ht="15" hidden="false" customHeight="false" outlineLevel="0" collapsed="false">
      <c r="A116" s="14" t="s">
        <v>405</v>
      </c>
      <c r="B116" s="15" t="s">
        <v>406</v>
      </c>
      <c r="C116" s="14" t="s">
        <v>407</v>
      </c>
      <c r="D116" s="14" t="s">
        <v>63</v>
      </c>
      <c r="E116" s="14" t="n">
        <v>10</v>
      </c>
      <c r="F116" s="16" t="n">
        <v>24</v>
      </c>
      <c r="G116" s="17" t="n">
        <v>145.5</v>
      </c>
      <c r="H116" s="18" t="n">
        <f aca="false">IF(ISNUMBER(G116),IFERROR(G116/F116,""),"")</f>
        <v>6.0625</v>
      </c>
      <c r="I116" s="17" t="n">
        <v>12.9</v>
      </c>
      <c r="J116" s="17" t="n">
        <v>12.9</v>
      </c>
      <c r="K116" s="19" t="s">
        <v>64</v>
      </c>
      <c r="L116" s="20" t="n">
        <v>12.9</v>
      </c>
      <c r="M116" s="18" t="n">
        <f aca="false">IFERROR(L116*(1-Premissas!$B$5)*(1-Premissas!$B$6)-H116-Premissas!$B$7,"")</f>
        <v>5.06995</v>
      </c>
      <c r="N116" s="21" t="n">
        <f aca="false">IFERROR(M116/L116,"")</f>
        <v>0.393019379844961</v>
      </c>
      <c r="O116" s="18" t="n">
        <f aca="false">IFERROR(L116*(1-Premissas!$B$8)-Premissas!$B$9-H116-Premissas!$B$7,"")</f>
        <v>-1.9605</v>
      </c>
      <c r="P116" s="18" t="n">
        <f aca="false">IFERROR(L116*(1-Premissas!$B$10)-Premissas!$B$11-H116-Premissas!$B$7,"")</f>
        <v>-0.7425</v>
      </c>
      <c r="Q116" s="18" t="n">
        <f aca="false">IFERROR(M116*F116,"")</f>
        <v>121.6788</v>
      </c>
      <c r="R116" s="22" t="n">
        <f aca="false">IFERROR(IF(M116&gt;0,ROUNDUP(Premissas!$B$12/M116,0),"sem lucro"),"")</f>
        <v>198</v>
      </c>
      <c r="S116" s="15" t="s">
        <v>307</v>
      </c>
      <c r="T116" s="23" t="s">
        <v>76</v>
      </c>
      <c r="U116" s="15"/>
      <c r="V116" s="18" t="n">
        <f aca="false">IF(AND(T116="S",ISNUMBER(L116),ISNUMBER(F116)),L116*F116*X116,0)</f>
        <v>0</v>
      </c>
      <c r="W116" s="18" t="n">
        <f aca="false">IF(AND(T116="S",ISNUMBER(Q116)),Q116*X116,0)</f>
        <v>0</v>
      </c>
      <c r="X116" s="23" t="n">
        <v>1</v>
      </c>
      <c r="Y116" s="18" t="n">
        <f aca="false">IF(AND(T116="S",ISNUMBER(G116)),G116*X116,0)</f>
        <v>0</v>
      </c>
    </row>
    <row r="117" customFormat="false" ht="15" hidden="false" customHeight="false" outlineLevel="0" collapsed="false">
      <c r="A117" s="14" t="s">
        <v>408</v>
      </c>
      <c r="B117" s="15" t="s">
        <v>409</v>
      </c>
      <c r="C117" s="14" t="s">
        <v>410</v>
      </c>
      <c r="D117" s="14" t="s">
        <v>117</v>
      </c>
      <c r="E117" s="14" t="n">
        <v>10</v>
      </c>
      <c r="F117" s="16" t="n">
        <v>24</v>
      </c>
      <c r="G117" s="17" t="n">
        <v>147.2</v>
      </c>
      <c r="H117" s="18" t="n">
        <f aca="false">IF(ISNUMBER(G117),IFERROR(G117/F117,""),"")</f>
        <v>6.13333333333333</v>
      </c>
      <c r="I117" s="17" t="n">
        <v>12.9</v>
      </c>
      <c r="J117" s="17" t="n">
        <v>12.9</v>
      </c>
      <c r="K117" s="19" t="s">
        <v>64</v>
      </c>
      <c r="L117" s="20" t="n">
        <v>12.9</v>
      </c>
      <c r="M117" s="18" t="n">
        <f aca="false">IFERROR(L117*(1-Premissas!$B$5)*(1-Premissas!$B$6)-H117-Premissas!$B$7,"")</f>
        <v>4.99911666666667</v>
      </c>
      <c r="N117" s="21" t="n">
        <f aca="false">IFERROR(M117/L117,"")</f>
        <v>0.38752842377261</v>
      </c>
      <c r="O117" s="18" t="n">
        <f aca="false">IFERROR(L117*(1-Premissas!$B$8)-Premissas!$B$9-H117-Premissas!$B$7,"")</f>
        <v>-2.03133333333333</v>
      </c>
      <c r="P117" s="18" t="n">
        <f aca="false">IFERROR(L117*(1-Premissas!$B$10)-Premissas!$B$11-H117-Premissas!$B$7,"")</f>
        <v>-0.813333333333333</v>
      </c>
      <c r="Q117" s="18" t="n">
        <f aca="false">IFERROR(M117*F117,"")</f>
        <v>119.9788</v>
      </c>
      <c r="R117" s="22" t="n">
        <f aca="false">IFERROR(IF(M117&gt;0,ROUNDUP(Premissas!$B$12/M117,0),"sem lucro"),"")</f>
        <v>201</v>
      </c>
      <c r="S117" s="15" t="s">
        <v>252</v>
      </c>
      <c r="T117" s="23" t="s">
        <v>76</v>
      </c>
      <c r="U117" s="15"/>
      <c r="V117" s="18" t="n">
        <f aca="false">IF(AND(T117="S",ISNUMBER(L117),ISNUMBER(F117)),L117*F117*X117,0)</f>
        <v>0</v>
      </c>
      <c r="W117" s="18" t="n">
        <f aca="false">IF(AND(T117="S",ISNUMBER(Q117)),Q117*X117,0)</f>
        <v>0</v>
      </c>
      <c r="X117" s="23" t="n">
        <v>1</v>
      </c>
      <c r="Y117" s="18" t="n">
        <f aca="false">IF(AND(T117="S",ISNUMBER(G117)),G117*X117,0)</f>
        <v>0</v>
      </c>
    </row>
    <row r="118" customFormat="false" ht="15" hidden="false" customHeight="false" outlineLevel="0" collapsed="false">
      <c r="A118" s="14" t="s">
        <v>411</v>
      </c>
      <c r="B118" s="15" t="s">
        <v>412</v>
      </c>
      <c r="C118" s="14" t="s">
        <v>133</v>
      </c>
      <c r="D118" s="14" t="s">
        <v>117</v>
      </c>
      <c r="E118" s="14" t="n">
        <v>10</v>
      </c>
      <c r="F118" s="16" t="n">
        <v>1</v>
      </c>
      <c r="G118" s="17" t="n">
        <v>5.99</v>
      </c>
      <c r="H118" s="18" t="n">
        <f aca="false">IF(ISNUMBER(G118),IFERROR(G118/F118,""),"")</f>
        <v>5.99</v>
      </c>
      <c r="I118" s="17" t="n">
        <v>11.5</v>
      </c>
      <c r="J118" s="17" t="n">
        <v>11.5</v>
      </c>
      <c r="K118" s="19" t="s">
        <v>64</v>
      </c>
      <c r="L118" s="20" t="n">
        <v>11.9</v>
      </c>
      <c r="M118" s="18" t="n">
        <f aca="false">IFERROR(L118*(1-Premissas!$B$5)*(1-Premissas!$B$6)-H118-Premissas!$B$7,"")</f>
        <v>4.20195</v>
      </c>
      <c r="N118" s="21" t="n">
        <f aca="false">IFERROR(M118/L118,"")</f>
        <v>0.353105042016807</v>
      </c>
      <c r="O118" s="18" t="n">
        <f aca="false">IFERROR(L118*(1-Premissas!$B$8)-Premissas!$B$9-H118-Premissas!$B$7,"")</f>
        <v>-2.768</v>
      </c>
      <c r="P118" s="18" t="n">
        <f aca="false">IFERROR(L118*(1-Premissas!$B$10)-Premissas!$B$11-H118-Premissas!$B$7,"")</f>
        <v>-1.47</v>
      </c>
      <c r="Q118" s="18" t="n">
        <f aca="false">IFERROR(M118*F118,"")</f>
        <v>4.20195</v>
      </c>
      <c r="R118" s="22" t="n">
        <f aca="false">IFERROR(IF(M118&gt;0,ROUNDUP(Premissas!$B$12/M118,0),"sem lucro"),"")</f>
        <v>238</v>
      </c>
      <c r="S118" s="15" t="s">
        <v>82</v>
      </c>
      <c r="T118" s="23" t="s">
        <v>76</v>
      </c>
      <c r="U118" s="15" t="s">
        <v>413</v>
      </c>
      <c r="V118" s="18" t="n">
        <f aca="false">IF(AND(T118="S",ISNUMBER(L118),ISNUMBER(F118)),L118*F118*X118,0)</f>
        <v>0</v>
      </c>
      <c r="W118" s="18" t="n">
        <f aca="false">IF(AND(T118="S",ISNUMBER(Q118)),Q118*X118,0)</f>
        <v>0</v>
      </c>
      <c r="X118" s="23" t="n">
        <v>12</v>
      </c>
      <c r="Y118" s="18" t="n">
        <f aca="false">IF(AND(T118="S",ISNUMBER(G118)),G118*X118,0)</f>
        <v>0</v>
      </c>
    </row>
    <row r="119" customFormat="false" ht="15" hidden="false" customHeight="false" outlineLevel="0" collapsed="false">
      <c r="A119" s="14" t="s">
        <v>414</v>
      </c>
      <c r="B119" s="15" t="s">
        <v>415</v>
      </c>
      <c r="C119" s="14" t="s">
        <v>416</v>
      </c>
      <c r="D119" s="14" t="s">
        <v>125</v>
      </c>
      <c r="E119" s="14" t="n">
        <v>10</v>
      </c>
      <c r="F119" s="16" t="n">
        <v>24</v>
      </c>
      <c r="G119" s="17" t="n">
        <v>137.5</v>
      </c>
      <c r="H119" s="18" t="n">
        <f aca="false">IF(ISNUMBER(G119),IFERROR(G119/F119,""),"")</f>
        <v>5.72916666666667</v>
      </c>
      <c r="I119" s="17" t="n">
        <v>12.9</v>
      </c>
      <c r="J119" s="17" t="n">
        <v>12.9</v>
      </c>
      <c r="K119" s="19" t="s">
        <v>64</v>
      </c>
      <c r="L119" s="20" t="n">
        <v>12.9</v>
      </c>
      <c r="M119" s="18" t="n">
        <f aca="false">IFERROR(L119*(1-Premissas!$B$5)*(1-Premissas!$B$6)-H119-Premissas!$B$7,"")</f>
        <v>5.40328333333333</v>
      </c>
      <c r="N119" s="21" t="n">
        <f aca="false">IFERROR(M119/L119,"")</f>
        <v>0.418859173126615</v>
      </c>
      <c r="O119" s="18" t="n">
        <f aca="false">IFERROR(L119*(1-Premissas!$B$8)-Premissas!$B$9-H119-Premissas!$B$7,"")</f>
        <v>-1.62716666666667</v>
      </c>
      <c r="P119" s="18" t="n">
        <f aca="false">IFERROR(L119*(1-Premissas!$B$10)-Premissas!$B$11-H119-Premissas!$B$7,"")</f>
        <v>-0.409166666666667</v>
      </c>
      <c r="Q119" s="18" t="n">
        <f aca="false">IFERROR(M119*F119,"")</f>
        <v>129.6788</v>
      </c>
      <c r="R119" s="22" t="n">
        <f aca="false">IFERROR(IF(M119&gt;0,ROUNDUP(Premissas!$B$12/M119,0),"sem lucro"),"")</f>
        <v>186</v>
      </c>
      <c r="S119" s="15" t="s">
        <v>266</v>
      </c>
      <c r="T119" s="23" t="s">
        <v>76</v>
      </c>
      <c r="U119" s="15" t="s">
        <v>417</v>
      </c>
      <c r="V119" s="18" t="n">
        <f aca="false">IF(AND(T119="S",ISNUMBER(L119),ISNUMBER(F119)),L119*F119*X119,0)</f>
        <v>0</v>
      </c>
      <c r="W119" s="18" t="n">
        <f aca="false">IF(AND(T119="S",ISNUMBER(Q119)),Q119*X119,0)</f>
        <v>0</v>
      </c>
      <c r="X119" s="23" t="n">
        <v>1</v>
      </c>
      <c r="Y119" s="18" t="n">
        <f aca="false">IF(AND(T119="S",ISNUMBER(G119)),G119*X119,0)</f>
        <v>0</v>
      </c>
    </row>
    <row r="120" customFormat="false" ht="15" hidden="false" customHeight="false" outlineLevel="0" collapsed="false">
      <c r="A120" s="14" t="s">
        <v>418</v>
      </c>
      <c r="B120" s="15" t="s">
        <v>419</v>
      </c>
      <c r="C120" s="14" t="s">
        <v>133</v>
      </c>
      <c r="D120" s="14" t="s">
        <v>125</v>
      </c>
      <c r="E120" s="14" t="n">
        <v>10</v>
      </c>
      <c r="F120" s="16" t="n">
        <v>12</v>
      </c>
      <c r="G120" s="17" t="n">
        <v>23.3</v>
      </c>
      <c r="H120" s="18" t="n">
        <f aca="false">IF(ISNUMBER(G120),IFERROR(G120/F120,""),"")</f>
        <v>1.94166666666667</v>
      </c>
      <c r="I120" s="17" t="n">
        <v>4.99</v>
      </c>
      <c r="J120" s="17" t="n">
        <v>5.99</v>
      </c>
      <c r="K120" s="14" t="s">
        <v>93</v>
      </c>
      <c r="L120" s="20" t="n">
        <v>5.9</v>
      </c>
      <c r="M120" s="18" t="n">
        <f aca="false">IFERROR(L120*(1-Premissas!$B$5)*(1-Premissas!$B$6)-H120-Premissas!$B$7,"")</f>
        <v>2.60728333333333</v>
      </c>
      <c r="N120" s="21" t="n">
        <f aca="false">IFERROR(M120/L120,"")</f>
        <v>0.441912429378531</v>
      </c>
      <c r="O120" s="18" t="n">
        <f aca="false">IFERROR(L120*(1-Premissas!$B$8)-Premissas!$B$9-H120-Premissas!$B$7,"")</f>
        <v>-3.99966666666667</v>
      </c>
      <c r="P120" s="18" t="n">
        <f aca="false">IFERROR(L120*(1-Premissas!$B$10)-Premissas!$B$11-H120-Premissas!$B$7,"")</f>
        <v>-2.22166666666667</v>
      </c>
      <c r="Q120" s="18" t="n">
        <f aca="false">IFERROR(M120*F120,"")</f>
        <v>31.2874</v>
      </c>
      <c r="R120" s="22" t="n">
        <f aca="false">IFERROR(IF(M120&gt;0,ROUNDUP(Premissas!$B$12/M120,0),"sem lucro"),"")</f>
        <v>384</v>
      </c>
      <c r="S120" s="15" t="s">
        <v>111</v>
      </c>
      <c r="T120" s="23" t="s">
        <v>76</v>
      </c>
      <c r="U120" s="15" t="s">
        <v>420</v>
      </c>
      <c r="V120" s="18" t="n">
        <f aca="false">IF(AND(T120="S",ISNUMBER(L120),ISNUMBER(F120)),L120*F120*X120,0)</f>
        <v>0</v>
      </c>
      <c r="W120" s="18" t="n">
        <f aca="false">IF(AND(T120="S",ISNUMBER(Q120)),Q120*X120,0)</f>
        <v>0</v>
      </c>
      <c r="X120" s="23" t="n">
        <v>1</v>
      </c>
      <c r="Y120" s="18" t="n">
        <f aca="false">IF(AND(T120="S",ISNUMBER(G120)),G120*X120,0)</f>
        <v>0</v>
      </c>
    </row>
    <row r="121" customFormat="false" ht="15" hidden="false" customHeight="false" outlineLevel="0" collapsed="false">
      <c r="A121" s="14" t="s">
        <v>421</v>
      </c>
      <c r="B121" s="15" t="s">
        <v>422</v>
      </c>
      <c r="C121" s="14" t="s">
        <v>133</v>
      </c>
      <c r="D121" s="14" t="s">
        <v>157</v>
      </c>
      <c r="E121" s="14" t="n">
        <v>10</v>
      </c>
      <c r="F121" s="16" t="n">
        <v>12</v>
      </c>
      <c r="G121" s="17" t="n">
        <v>28.99</v>
      </c>
      <c r="H121" s="18" t="n">
        <f aca="false">IF(ISNUMBER(G121),IFERROR(G121/F121,""),"")</f>
        <v>2.41583333333333</v>
      </c>
      <c r="I121" s="17" t="n">
        <v>4.99</v>
      </c>
      <c r="J121" s="17" t="n">
        <v>5.99</v>
      </c>
      <c r="K121" s="19" t="s">
        <v>64</v>
      </c>
      <c r="L121" s="20" t="n">
        <v>5.9</v>
      </c>
      <c r="M121" s="18" t="n">
        <f aca="false">IFERROR(L121*(1-Premissas!$B$5)*(1-Premissas!$B$6)-H121-Premissas!$B$7,"")</f>
        <v>2.13311666666667</v>
      </c>
      <c r="N121" s="21" t="n">
        <f aca="false">IFERROR(M121/L121,"")</f>
        <v>0.361545197740113</v>
      </c>
      <c r="O121" s="18" t="n">
        <f aca="false">IFERROR(L121*(1-Premissas!$B$8)-Premissas!$B$9-H121-Premissas!$B$7,"")</f>
        <v>-4.47383333333333</v>
      </c>
      <c r="P121" s="18" t="n">
        <f aca="false">IFERROR(L121*(1-Premissas!$B$10)-Premissas!$B$11-H121-Premissas!$B$7,"")</f>
        <v>-2.69583333333333</v>
      </c>
      <c r="Q121" s="18" t="n">
        <f aca="false">IFERROR(M121*F121,"")</f>
        <v>25.5974</v>
      </c>
      <c r="R121" s="22" t="n">
        <f aca="false">IFERROR(IF(M121&gt;0,ROUNDUP(Premissas!$B$12/M121,0),"sem lucro"),"")</f>
        <v>469</v>
      </c>
      <c r="S121" s="15" t="s">
        <v>111</v>
      </c>
      <c r="T121" s="23" t="s">
        <v>76</v>
      </c>
      <c r="U121" s="15" t="s">
        <v>423</v>
      </c>
      <c r="V121" s="18" t="n">
        <f aca="false">IF(AND(T121="S",ISNUMBER(L121),ISNUMBER(F121)),L121*F121*X121,0)</f>
        <v>0</v>
      </c>
      <c r="W121" s="18" t="n">
        <f aca="false">IF(AND(T121="S",ISNUMBER(Q121)),Q121*X121,0)</f>
        <v>0</v>
      </c>
      <c r="X121" s="23" t="n">
        <v>1</v>
      </c>
      <c r="Y121" s="18" t="n">
        <f aca="false">IF(AND(T121="S",ISNUMBER(G121)),G121*X121,0)</f>
        <v>0</v>
      </c>
    </row>
    <row r="122" customFormat="false" ht="15" hidden="false" customHeight="false" outlineLevel="0" collapsed="false">
      <c r="A122" s="14" t="s">
        <v>424</v>
      </c>
      <c r="B122" s="15" t="s">
        <v>425</v>
      </c>
      <c r="C122" s="14" t="s">
        <v>255</v>
      </c>
      <c r="D122" s="14" t="s">
        <v>117</v>
      </c>
      <c r="E122" s="14" t="n">
        <v>10</v>
      </c>
      <c r="F122" s="16" t="n">
        <v>36</v>
      </c>
      <c r="G122" s="17" t="n">
        <v>204.99</v>
      </c>
      <c r="H122" s="18" t="n">
        <f aca="false">IF(ISNUMBER(G122),IFERROR(G122/F122,""),"")</f>
        <v>5.69416666666667</v>
      </c>
      <c r="I122" s="17" t="n">
        <v>12.9</v>
      </c>
      <c r="J122" s="17" t="n">
        <v>12.9</v>
      </c>
      <c r="K122" s="19" t="s">
        <v>64</v>
      </c>
      <c r="L122" s="20" t="n">
        <v>12.9</v>
      </c>
      <c r="M122" s="18" t="n">
        <f aca="false">IFERROR(L122*(1-Premissas!$B$5)*(1-Premissas!$B$6)-H122-Premissas!$B$7,"")</f>
        <v>5.43828333333333</v>
      </c>
      <c r="N122" s="21" t="n">
        <f aca="false">IFERROR(M122/L122,"")</f>
        <v>0.421572351421189</v>
      </c>
      <c r="O122" s="18" t="n">
        <f aca="false">IFERROR(L122*(1-Premissas!$B$8)-Premissas!$B$9-H122-Premissas!$B$7,"")</f>
        <v>-1.59216666666667</v>
      </c>
      <c r="P122" s="18" t="n">
        <f aca="false">IFERROR(L122*(1-Premissas!$B$10)-Premissas!$B$11-H122-Premissas!$B$7,"")</f>
        <v>-0.374166666666667</v>
      </c>
      <c r="Q122" s="18" t="n">
        <f aca="false">IFERROR(M122*F122,"")</f>
        <v>195.7782</v>
      </c>
      <c r="R122" s="22" t="n">
        <f aca="false">IFERROR(IF(M122&gt;0,ROUNDUP(Premissas!$B$12/M122,0),"sem lucro"),"")</f>
        <v>184</v>
      </c>
      <c r="S122" s="15" t="s">
        <v>252</v>
      </c>
      <c r="T122" s="23" t="s">
        <v>76</v>
      </c>
      <c r="U122" s="15" t="s">
        <v>256</v>
      </c>
      <c r="V122" s="18" t="n">
        <f aca="false">IF(AND(T122="S",ISNUMBER(L122),ISNUMBER(F122)),L122*F122*X122,0)</f>
        <v>0</v>
      </c>
      <c r="W122" s="18" t="n">
        <f aca="false">IF(AND(T122="S",ISNUMBER(Q122)),Q122*X122,0)</f>
        <v>0</v>
      </c>
      <c r="X122" s="23" t="n">
        <v>1</v>
      </c>
      <c r="Y122" s="18" t="n">
        <f aca="false">IF(AND(T122="S",ISNUMBER(G122)),G122*X122,0)</f>
        <v>0</v>
      </c>
    </row>
    <row r="123" customFormat="false" ht="26.85" hidden="false" customHeight="false" outlineLevel="0" collapsed="false">
      <c r="A123" s="14" t="s">
        <v>426</v>
      </c>
      <c r="B123" s="15" t="s">
        <v>427</v>
      </c>
      <c r="C123" s="14" t="s">
        <v>428</v>
      </c>
      <c r="D123" s="14" t="s">
        <v>63</v>
      </c>
      <c r="E123" s="14" t="n">
        <v>10</v>
      </c>
      <c r="F123" s="16" t="n">
        <v>24</v>
      </c>
      <c r="G123" s="17" t="n">
        <v>80.99</v>
      </c>
      <c r="H123" s="18" t="n">
        <f aca="false">IF(ISNUMBER(G123),IFERROR(G123/F123,""),"")</f>
        <v>3.37458333333333</v>
      </c>
      <c r="I123" s="17" t="n">
        <v>12.9</v>
      </c>
      <c r="J123" s="17" t="n">
        <v>20</v>
      </c>
      <c r="K123" s="19" t="s">
        <v>64</v>
      </c>
      <c r="L123" s="20" t="n">
        <v>14.9</v>
      </c>
      <c r="M123" s="18" t="n">
        <f aca="false">IFERROR(L123*(1-Premissas!$B$5)*(1-Premissas!$B$6)-H123-Premissas!$B$7,"")</f>
        <v>9.63886666666667</v>
      </c>
      <c r="N123" s="21" t="n">
        <f aca="false">IFERROR(M123/L123,"")</f>
        <v>0.646903803131991</v>
      </c>
      <c r="O123" s="18" t="n">
        <f aca="false">IFERROR(L123*(1-Premissas!$B$8)-Premissas!$B$9-H123-Premissas!$B$7,"")</f>
        <v>2.48741666666667</v>
      </c>
      <c r="P123" s="18" t="n">
        <f aca="false">IFERROR(L123*(1-Premissas!$B$10)-Premissas!$B$11-H123-Premissas!$B$7,"")</f>
        <v>3.54541666666667</v>
      </c>
      <c r="Q123" s="18" t="n">
        <f aca="false">IFERROR(M123*F123,"")</f>
        <v>231.3328</v>
      </c>
      <c r="R123" s="22" t="n">
        <f aca="false">IFERROR(IF(M123&gt;0,ROUNDUP(Premissas!$B$12/M123,0),"sem lucro"),"")</f>
        <v>104</v>
      </c>
      <c r="S123" s="15" t="s">
        <v>429</v>
      </c>
      <c r="T123" s="23" t="s">
        <v>76</v>
      </c>
      <c r="U123" s="15" t="s">
        <v>430</v>
      </c>
      <c r="V123" s="18" t="n">
        <f aca="false">IF(AND(T123="S",ISNUMBER(L123),ISNUMBER(F123)),L123*F123*X123,0)</f>
        <v>0</v>
      </c>
      <c r="W123" s="18" t="n">
        <f aca="false">IF(AND(T123="S",ISNUMBER(Q123)),Q123*X123,0)</f>
        <v>0</v>
      </c>
      <c r="X123" s="23" t="n">
        <v>1</v>
      </c>
      <c r="Y123" s="18" t="n">
        <f aca="false">IF(AND(T123="S",ISNUMBER(G123)),G123*X123,0)</f>
        <v>0</v>
      </c>
    </row>
    <row r="124" customFormat="false" ht="15" hidden="false" customHeight="false" outlineLevel="0" collapsed="false">
      <c r="A124" s="14" t="s">
        <v>431</v>
      </c>
      <c r="B124" s="15" t="s">
        <v>432</v>
      </c>
      <c r="C124" s="14" t="s">
        <v>428</v>
      </c>
      <c r="D124" s="14" t="s">
        <v>125</v>
      </c>
      <c r="E124" s="14" t="n">
        <v>10</v>
      </c>
      <c r="F124" s="16" t="n">
        <v>24</v>
      </c>
      <c r="G124" s="17" t="n">
        <v>130.9</v>
      </c>
      <c r="H124" s="18" t="n">
        <f aca="false">IF(ISNUMBER(G124),IFERROR(G124/F124,""),"")</f>
        <v>5.45416666666667</v>
      </c>
      <c r="I124" s="17" t="n">
        <v>12.9</v>
      </c>
      <c r="J124" s="17" t="n">
        <v>12.9</v>
      </c>
      <c r="K124" s="19" t="s">
        <v>64</v>
      </c>
      <c r="L124" s="20" t="n">
        <v>12.9</v>
      </c>
      <c r="M124" s="18" t="n">
        <f aca="false">IFERROR(L124*(1-Premissas!$B$5)*(1-Premissas!$B$6)-H124-Premissas!$B$7,"")</f>
        <v>5.67828333333333</v>
      </c>
      <c r="N124" s="21" t="n">
        <f aca="false">IFERROR(M124/L124,"")</f>
        <v>0.440177002583979</v>
      </c>
      <c r="O124" s="18" t="n">
        <f aca="false">IFERROR(L124*(1-Premissas!$B$8)-Premissas!$B$9-H124-Premissas!$B$7,"")</f>
        <v>-1.35216666666667</v>
      </c>
      <c r="P124" s="18" t="n">
        <f aca="false">IFERROR(L124*(1-Premissas!$B$10)-Premissas!$B$11-H124-Premissas!$B$7,"")</f>
        <v>-0.134166666666666</v>
      </c>
      <c r="Q124" s="18" t="n">
        <f aca="false">IFERROR(M124*F124,"")</f>
        <v>136.2788</v>
      </c>
      <c r="R124" s="22" t="n">
        <f aca="false">IFERROR(IF(M124&gt;0,ROUNDUP(Premissas!$B$12/M124,0),"sem lucro"),"")</f>
        <v>177</v>
      </c>
      <c r="S124" s="15" t="s">
        <v>82</v>
      </c>
      <c r="T124" s="23" t="s">
        <v>76</v>
      </c>
      <c r="U124" s="15"/>
      <c r="V124" s="18" t="n">
        <f aca="false">IF(AND(T124="S",ISNUMBER(L124),ISNUMBER(F124)),L124*F124*X124,0)</f>
        <v>0</v>
      </c>
      <c r="W124" s="18" t="n">
        <f aca="false">IF(AND(T124="S",ISNUMBER(Q124)),Q124*X124,0)</f>
        <v>0</v>
      </c>
      <c r="X124" s="23" t="n">
        <v>1</v>
      </c>
      <c r="Y124" s="18" t="n">
        <f aca="false">IF(AND(T124="S",ISNUMBER(G124)),G124*X124,0)</f>
        <v>0</v>
      </c>
    </row>
    <row r="125" customFormat="false" ht="15" hidden="false" customHeight="false" outlineLevel="0" collapsed="false">
      <c r="A125" s="14" t="s">
        <v>433</v>
      </c>
      <c r="B125" s="15" t="s">
        <v>434</v>
      </c>
      <c r="C125" s="14" t="s">
        <v>435</v>
      </c>
      <c r="D125" s="14" t="s">
        <v>63</v>
      </c>
      <c r="E125" s="14" t="n">
        <v>10</v>
      </c>
      <c r="F125" s="16" t="n">
        <v>12</v>
      </c>
      <c r="G125" s="17" t="n">
        <v>48.5</v>
      </c>
      <c r="H125" s="18" t="n">
        <f aca="false">IF(ISNUMBER(G125),IFERROR(G125/F125,""),"")</f>
        <v>4.04166666666667</v>
      </c>
      <c r="I125" s="17" t="n">
        <v>4.59</v>
      </c>
      <c r="J125" s="17" t="n">
        <v>12.9</v>
      </c>
      <c r="K125" s="19" t="s">
        <v>64</v>
      </c>
      <c r="L125" s="20" t="n">
        <v>11.9</v>
      </c>
      <c r="M125" s="18" t="n">
        <f aca="false">IFERROR(L125*(1-Premissas!$B$5)*(1-Premissas!$B$6)-H125-Premissas!$B$7,"")</f>
        <v>6.15028333333333</v>
      </c>
      <c r="N125" s="21" t="n">
        <f aca="false">IFERROR(M125/L125,"")</f>
        <v>0.516830532212885</v>
      </c>
      <c r="O125" s="18" t="n">
        <f aca="false">IFERROR(L125*(1-Premissas!$B$8)-Premissas!$B$9-H125-Premissas!$B$7,"")</f>
        <v>-0.819666666666667</v>
      </c>
      <c r="P125" s="18" t="n">
        <f aca="false">IFERROR(L125*(1-Premissas!$B$10)-Premissas!$B$11-H125-Premissas!$B$7,"")</f>
        <v>0.478333333333334</v>
      </c>
      <c r="Q125" s="18" t="n">
        <f aca="false">IFERROR(M125*F125,"")</f>
        <v>73.8034</v>
      </c>
      <c r="R125" s="22" t="n">
        <f aca="false">IFERROR(IF(M125&gt;0,ROUNDUP(Premissas!$B$12/M125,0),"sem lucro"),"")</f>
        <v>163</v>
      </c>
      <c r="S125" s="15" t="s">
        <v>260</v>
      </c>
      <c r="T125" s="23" t="s">
        <v>76</v>
      </c>
      <c r="U125" s="15" t="s">
        <v>436</v>
      </c>
      <c r="V125" s="18" t="n">
        <f aca="false">IF(AND(T125="S",ISNUMBER(L125),ISNUMBER(F125)),L125*F125*X125,0)</f>
        <v>0</v>
      </c>
      <c r="W125" s="18" t="n">
        <f aca="false">IF(AND(T125="S",ISNUMBER(Q125)),Q125*X125,0)</f>
        <v>0</v>
      </c>
      <c r="X125" s="23" t="n">
        <v>1</v>
      </c>
      <c r="Y125" s="18" t="n">
        <f aca="false">IF(AND(T125="S",ISNUMBER(G125)),G125*X125,0)</f>
        <v>0</v>
      </c>
    </row>
    <row r="126" customFormat="false" ht="15" hidden="false" customHeight="false" outlineLevel="0" collapsed="false">
      <c r="A126" s="14" t="s">
        <v>437</v>
      </c>
      <c r="B126" s="15" t="s">
        <v>438</v>
      </c>
      <c r="C126" s="14" t="s">
        <v>439</v>
      </c>
      <c r="D126" s="14" t="s">
        <v>168</v>
      </c>
      <c r="E126" s="14" t="n">
        <v>10</v>
      </c>
      <c r="F126" s="16" t="n">
        <v>1</v>
      </c>
      <c r="G126" s="17" t="n">
        <v>10.8</v>
      </c>
      <c r="H126" s="18" t="n">
        <f aca="false">IF(ISNUMBER(G126),IFERROR(G126/F126,""),"")</f>
        <v>10.8</v>
      </c>
      <c r="I126" s="17" t="n">
        <v>24.9</v>
      </c>
      <c r="J126" s="17" t="n">
        <v>34.9</v>
      </c>
      <c r="K126" s="19" t="s">
        <v>64</v>
      </c>
      <c r="L126" s="20" t="n">
        <v>29.9</v>
      </c>
      <c r="M126" s="18" t="n">
        <f aca="false">IFERROR(L126*(1-Premissas!$B$5)*(1-Premissas!$B$6)-H126-Premissas!$B$7,"")</f>
        <v>16.32095</v>
      </c>
      <c r="N126" s="21" t="n">
        <f aca="false">IFERROR(M126/L126,"")</f>
        <v>0.545851170568562</v>
      </c>
      <c r="O126" s="18" t="n">
        <f aca="false">IFERROR(L126*(1-Premissas!$B$8)-Premissas!$B$9-H126-Premissas!$B$7,"")</f>
        <v>8.262</v>
      </c>
      <c r="P126" s="18" t="n">
        <f aca="false">IFERROR(L126*(1-Premissas!$B$10)-Premissas!$B$11-H126-Premissas!$B$7,"")</f>
        <v>8.12</v>
      </c>
      <c r="Q126" s="18" t="n">
        <f aca="false">IFERROR(M126*F126,"")</f>
        <v>16.32095</v>
      </c>
      <c r="R126" s="22" t="n">
        <f aca="false">IFERROR(IF(M126&gt;0,ROUNDUP(Premissas!$B$12/M126,0),"sem lucro"),"")</f>
        <v>62</v>
      </c>
      <c r="S126" s="15" t="s">
        <v>440</v>
      </c>
      <c r="T126" s="23" t="s">
        <v>76</v>
      </c>
      <c r="U126" s="15" t="s">
        <v>441</v>
      </c>
      <c r="V126" s="18" t="n">
        <f aca="false">IF(AND(T126="S",ISNUMBER(L126),ISNUMBER(F126)),L126*F126*X126,0)</f>
        <v>0</v>
      </c>
      <c r="W126" s="18" t="n">
        <f aca="false">IF(AND(T126="S",ISNUMBER(Q126)),Q126*X126,0)</f>
        <v>0</v>
      </c>
      <c r="X126" s="23" t="n">
        <v>12</v>
      </c>
      <c r="Y126" s="18" t="n">
        <f aca="false">IF(AND(T126="S",ISNUMBER(G126)),G126*X126,0)</f>
        <v>0</v>
      </c>
    </row>
    <row r="127" customFormat="false" ht="15" hidden="false" customHeight="false" outlineLevel="0" collapsed="false">
      <c r="A127" s="14" t="s">
        <v>442</v>
      </c>
      <c r="B127" s="15" t="s">
        <v>443</v>
      </c>
      <c r="C127" s="14" t="s">
        <v>291</v>
      </c>
      <c r="D127" s="14" t="s">
        <v>125</v>
      </c>
      <c r="E127" s="14" t="n">
        <v>10</v>
      </c>
      <c r="F127" s="16" t="n">
        <v>48</v>
      </c>
      <c r="G127" s="17" t="n">
        <v>168.9</v>
      </c>
      <c r="H127" s="18" t="n">
        <f aca="false">IF(ISNUMBER(G127),IFERROR(G127/F127,""),"")</f>
        <v>3.51875</v>
      </c>
      <c r="I127" s="17" t="n">
        <v>10</v>
      </c>
      <c r="J127" s="17" t="n">
        <v>12.9</v>
      </c>
      <c r="K127" s="19" t="s">
        <v>64</v>
      </c>
      <c r="L127" s="20" t="n">
        <v>11.9</v>
      </c>
      <c r="M127" s="18" t="n">
        <f aca="false">IFERROR(L127*(1-Premissas!$B$5)*(1-Premissas!$B$6)-H127-Premissas!$B$7,"")</f>
        <v>6.6732</v>
      </c>
      <c r="N127" s="21" t="n">
        <f aca="false">IFERROR(M127/L127,"")</f>
        <v>0.560773109243697</v>
      </c>
      <c r="O127" s="18" t="n">
        <f aca="false">IFERROR(L127*(1-Premissas!$B$8)-Premissas!$B$9-H127-Premissas!$B$7,"")</f>
        <v>-0.296750000000001</v>
      </c>
      <c r="P127" s="18" t="n">
        <f aca="false">IFERROR(L127*(1-Premissas!$B$10)-Premissas!$B$11-H127-Premissas!$B$7,"")</f>
        <v>1.00125</v>
      </c>
      <c r="Q127" s="18" t="n">
        <f aca="false">IFERROR(M127*F127,"")</f>
        <v>320.3136</v>
      </c>
      <c r="R127" s="22" t="n">
        <f aca="false">IFERROR(IF(M127&gt;0,ROUNDUP(Premissas!$B$12/M127,0),"sem lucro"),"")</f>
        <v>150</v>
      </c>
      <c r="S127" s="15" t="s">
        <v>82</v>
      </c>
      <c r="T127" s="23" t="s">
        <v>76</v>
      </c>
      <c r="U127" s="15" t="s">
        <v>208</v>
      </c>
      <c r="V127" s="18" t="n">
        <f aca="false">IF(AND(T127="S",ISNUMBER(L127),ISNUMBER(F127)),L127*F127*X127,0)</f>
        <v>0</v>
      </c>
      <c r="W127" s="18" t="n">
        <f aca="false">IF(AND(T127="S",ISNUMBER(Q127)),Q127*X127,0)</f>
        <v>0</v>
      </c>
      <c r="X127" s="23" t="n">
        <v>1</v>
      </c>
      <c r="Y127" s="18" t="n">
        <f aca="false">IF(AND(T127="S",ISNUMBER(G127)),G127*X127,0)</f>
        <v>0</v>
      </c>
    </row>
    <row r="128" customFormat="false" ht="15" hidden="false" customHeight="false" outlineLevel="0" collapsed="false">
      <c r="A128" s="14" t="s">
        <v>444</v>
      </c>
      <c r="B128" s="15" t="s">
        <v>445</v>
      </c>
      <c r="C128" s="14" t="s">
        <v>291</v>
      </c>
      <c r="D128" s="14" t="s">
        <v>63</v>
      </c>
      <c r="E128" s="14" t="n">
        <v>10</v>
      </c>
      <c r="F128" s="16" t="n">
        <v>1</v>
      </c>
      <c r="G128" s="17" t="n">
        <v>5.5</v>
      </c>
      <c r="H128" s="18" t="n">
        <f aca="false">IF(ISNUMBER(G128),IFERROR(G128/F128,""),"")</f>
        <v>5.5</v>
      </c>
      <c r="I128" s="17" t="n">
        <v>12.9</v>
      </c>
      <c r="J128" s="17" t="n">
        <v>12.9</v>
      </c>
      <c r="K128" s="19" t="s">
        <v>64</v>
      </c>
      <c r="L128" s="20" t="n">
        <v>12.9</v>
      </c>
      <c r="M128" s="18" t="n">
        <f aca="false">IFERROR(L128*(1-Premissas!$B$5)*(1-Premissas!$B$6)-H128-Premissas!$B$7,"")</f>
        <v>5.63245</v>
      </c>
      <c r="N128" s="21" t="n">
        <f aca="false">IFERROR(M128/L128,"")</f>
        <v>0.436624031007752</v>
      </c>
      <c r="O128" s="18" t="n">
        <f aca="false">IFERROR(L128*(1-Premissas!$B$8)-Premissas!$B$9-H128-Premissas!$B$7,"")</f>
        <v>-1.398</v>
      </c>
      <c r="P128" s="18" t="n">
        <f aca="false">IFERROR(L128*(1-Premissas!$B$10)-Premissas!$B$11-H128-Premissas!$B$7,"")</f>
        <v>-0.18</v>
      </c>
      <c r="Q128" s="18" t="n">
        <f aca="false">IFERROR(M128*F128,"")</f>
        <v>5.63245</v>
      </c>
      <c r="R128" s="22" t="n">
        <f aca="false">IFERROR(IF(M128&gt;0,ROUNDUP(Premissas!$B$12/M128,0),"sem lucro"),"")</f>
        <v>178</v>
      </c>
      <c r="S128" s="15" t="s">
        <v>82</v>
      </c>
      <c r="T128" s="23" t="s">
        <v>76</v>
      </c>
      <c r="U128" s="15" t="s">
        <v>446</v>
      </c>
      <c r="V128" s="18" t="n">
        <f aca="false">IF(AND(T128="S",ISNUMBER(L128),ISNUMBER(F128)),L128*F128*X128,0)</f>
        <v>0</v>
      </c>
      <c r="W128" s="18" t="n">
        <f aca="false">IF(AND(T128="S",ISNUMBER(Q128)),Q128*X128,0)</f>
        <v>0</v>
      </c>
      <c r="X128" s="23" t="n">
        <v>12</v>
      </c>
      <c r="Y128" s="18" t="n">
        <f aca="false">IF(AND(T128="S",ISNUMBER(G128)),G128*X128,0)</f>
        <v>0</v>
      </c>
    </row>
    <row r="129" customFormat="false" ht="15" hidden="false" customHeight="false" outlineLevel="0" collapsed="false">
      <c r="A129" s="14" t="s">
        <v>447</v>
      </c>
      <c r="B129" s="15" t="s">
        <v>448</v>
      </c>
      <c r="C129" s="14" t="s">
        <v>167</v>
      </c>
      <c r="D129" s="14" t="s">
        <v>168</v>
      </c>
      <c r="E129" s="14" t="n">
        <v>10</v>
      </c>
      <c r="F129" s="16" t="n">
        <v>12</v>
      </c>
      <c r="G129" s="17" t="n">
        <v>67.99</v>
      </c>
      <c r="H129" s="18" t="n">
        <f aca="false">IF(ISNUMBER(G129),IFERROR(G129/F129,""),"")</f>
        <v>5.66583333333333</v>
      </c>
      <c r="I129" s="17" t="n">
        <v>14.9</v>
      </c>
      <c r="J129" s="17" t="n">
        <v>14.9</v>
      </c>
      <c r="K129" s="19" t="s">
        <v>64</v>
      </c>
      <c r="L129" s="20" t="n">
        <v>14.9</v>
      </c>
      <c r="M129" s="18" t="n">
        <f aca="false">IFERROR(L129*(1-Premissas!$B$5)*(1-Premissas!$B$6)-H129-Premissas!$B$7,"")</f>
        <v>7.34761666666667</v>
      </c>
      <c r="N129" s="21" t="n">
        <f aca="false">IFERROR(M129/L129,"")</f>
        <v>0.493128635346756</v>
      </c>
      <c r="O129" s="18" t="n">
        <f aca="false">IFERROR(L129*(1-Premissas!$B$8)-Premissas!$B$9-H129-Premissas!$B$7,"")</f>
        <v>0.196166666666668</v>
      </c>
      <c r="P129" s="18" t="n">
        <f aca="false">IFERROR(L129*(1-Premissas!$B$10)-Premissas!$B$11-H129-Premissas!$B$7,"")</f>
        <v>1.25416666666667</v>
      </c>
      <c r="Q129" s="18" t="n">
        <f aca="false">IFERROR(M129*F129,"")</f>
        <v>88.1714</v>
      </c>
      <c r="R129" s="22" t="n">
        <f aca="false">IFERROR(IF(M129&gt;0,ROUNDUP(Premissas!$B$12/M129,0),"sem lucro"),"")</f>
        <v>137</v>
      </c>
      <c r="S129" s="15" t="s">
        <v>360</v>
      </c>
      <c r="T129" s="23" t="s">
        <v>76</v>
      </c>
      <c r="U129" s="15" t="s">
        <v>449</v>
      </c>
      <c r="V129" s="18" t="n">
        <f aca="false">IF(AND(T129="S",ISNUMBER(L129),ISNUMBER(F129)),L129*F129*X129,0)</f>
        <v>0</v>
      </c>
      <c r="W129" s="18" t="n">
        <f aca="false">IF(AND(T129="S",ISNUMBER(Q129)),Q129*X129,0)</f>
        <v>0</v>
      </c>
      <c r="X129" s="23" t="n">
        <v>1</v>
      </c>
      <c r="Y129" s="18" t="n">
        <f aca="false">IF(AND(T129="S",ISNUMBER(G129)),G129*X129,0)</f>
        <v>0</v>
      </c>
    </row>
    <row r="130" customFormat="false" ht="15" hidden="false" customHeight="false" outlineLevel="0" collapsed="false">
      <c r="A130" s="14" t="s">
        <v>450</v>
      </c>
      <c r="B130" s="15" t="s">
        <v>451</v>
      </c>
      <c r="C130" s="14" t="s">
        <v>167</v>
      </c>
      <c r="D130" s="14" t="s">
        <v>168</v>
      </c>
      <c r="E130" s="14" t="n">
        <v>10</v>
      </c>
      <c r="F130" s="16" t="n">
        <v>12</v>
      </c>
      <c r="G130" s="17" t="n">
        <v>77.8</v>
      </c>
      <c r="H130" s="18" t="n">
        <f aca="false">IF(ISNUMBER(G130),IFERROR(G130/F130,""),"")</f>
        <v>6.48333333333333</v>
      </c>
      <c r="I130" s="17" t="n">
        <v>14.9</v>
      </c>
      <c r="J130" s="17" t="n">
        <v>14.9</v>
      </c>
      <c r="K130" s="19" t="s">
        <v>64</v>
      </c>
      <c r="L130" s="20" t="n">
        <v>14.9</v>
      </c>
      <c r="M130" s="18" t="n">
        <f aca="false">IFERROR(L130*(1-Premissas!$B$5)*(1-Premissas!$B$6)-H130-Premissas!$B$7,"")</f>
        <v>6.53011666666667</v>
      </c>
      <c r="N130" s="21" t="n">
        <f aca="false">IFERROR(M130/L130,"")</f>
        <v>0.438262863534676</v>
      </c>
      <c r="O130" s="18" t="n">
        <f aca="false">IFERROR(L130*(1-Premissas!$B$8)-Premissas!$B$9-H130-Premissas!$B$7,"")</f>
        <v>-0.621333333333333</v>
      </c>
      <c r="P130" s="18" t="n">
        <f aca="false">IFERROR(L130*(1-Premissas!$B$10)-Premissas!$B$11-H130-Premissas!$B$7,"")</f>
        <v>0.436666666666668</v>
      </c>
      <c r="Q130" s="18" t="n">
        <f aca="false">IFERROR(M130*F130,"")</f>
        <v>78.3614</v>
      </c>
      <c r="R130" s="22" t="n">
        <f aca="false">IFERROR(IF(M130&gt;0,ROUNDUP(Premissas!$B$12/M130,0),"sem lucro"),"")</f>
        <v>154</v>
      </c>
      <c r="S130" s="15" t="s">
        <v>360</v>
      </c>
      <c r="T130" s="23" t="s">
        <v>76</v>
      </c>
      <c r="U130" s="15" t="s">
        <v>449</v>
      </c>
      <c r="V130" s="18" t="n">
        <f aca="false">IF(AND(T130="S",ISNUMBER(L130),ISNUMBER(F130)),L130*F130*X130,0)</f>
        <v>0</v>
      </c>
      <c r="W130" s="18" t="n">
        <f aca="false">IF(AND(T130="S",ISNUMBER(Q130)),Q130*X130,0)</f>
        <v>0</v>
      </c>
      <c r="X130" s="23" t="n">
        <v>1</v>
      </c>
      <c r="Y130" s="18" t="n">
        <f aca="false">IF(AND(T130="S",ISNUMBER(G130)),G130*X130,0)</f>
        <v>0</v>
      </c>
    </row>
    <row r="131" customFormat="false" ht="15" hidden="false" customHeight="false" outlineLevel="0" collapsed="false">
      <c r="A131" s="14" t="s">
        <v>452</v>
      </c>
      <c r="B131" s="15" t="s">
        <v>453</v>
      </c>
      <c r="C131" s="14" t="s">
        <v>454</v>
      </c>
      <c r="D131" s="14" t="s">
        <v>117</v>
      </c>
      <c r="E131" s="14" t="n">
        <v>10</v>
      </c>
      <c r="F131" s="16" t="n">
        <v>36</v>
      </c>
      <c r="G131" s="17" t="n">
        <v>194.7</v>
      </c>
      <c r="H131" s="18" t="n">
        <f aca="false">IF(ISNUMBER(G131),IFERROR(G131/F131,""),"")</f>
        <v>5.40833333333333</v>
      </c>
      <c r="I131" s="17" t="n">
        <v>12.9</v>
      </c>
      <c r="J131" s="17" t="n">
        <v>12.9</v>
      </c>
      <c r="K131" s="19" t="s">
        <v>64</v>
      </c>
      <c r="L131" s="20" t="n">
        <v>12.9</v>
      </c>
      <c r="M131" s="18" t="n">
        <f aca="false">IFERROR(L131*(1-Premissas!$B$5)*(1-Premissas!$B$6)-H131-Premissas!$B$7,"")</f>
        <v>5.72411666666667</v>
      </c>
      <c r="N131" s="21" t="n">
        <f aca="false">IFERROR(M131/L131,"")</f>
        <v>0.443729974160207</v>
      </c>
      <c r="O131" s="18" t="n">
        <f aca="false">IFERROR(L131*(1-Premissas!$B$8)-Premissas!$B$9-H131-Premissas!$B$7,"")</f>
        <v>-1.30633333333333</v>
      </c>
      <c r="P131" s="18" t="n">
        <f aca="false">IFERROR(L131*(1-Premissas!$B$10)-Premissas!$B$11-H131-Premissas!$B$7,"")</f>
        <v>-0.0883333333333329</v>
      </c>
      <c r="Q131" s="18" t="n">
        <f aca="false">IFERROR(M131*F131,"")</f>
        <v>206.0682</v>
      </c>
      <c r="R131" s="22" t="n">
        <f aca="false">IFERROR(IF(M131&gt;0,ROUNDUP(Premissas!$B$12/M131,0),"sem lucro"),"")</f>
        <v>175</v>
      </c>
      <c r="S131" s="15" t="s">
        <v>252</v>
      </c>
      <c r="T131" s="23" t="s">
        <v>76</v>
      </c>
      <c r="U131" s="15" t="s">
        <v>256</v>
      </c>
      <c r="V131" s="18" t="n">
        <f aca="false">IF(AND(T131="S",ISNUMBER(L131),ISNUMBER(F131)),L131*F131*X131,0)</f>
        <v>0</v>
      </c>
      <c r="W131" s="18" t="n">
        <f aca="false">IF(AND(T131="S",ISNUMBER(Q131)),Q131*X131,0)</f>
        <v>0</v>
      </c>
      <c r="X131" s="23" t="n">
        <v>1</v>
      </c>
      <c r="Y131" s="18" t="n">
        <f aca="false">IF(AND(T131="S",ISNUMBER(G131)),G131*X131,0)</f>
        <v>0</v>
      </c>
    </row>
    <row r="132" customFormat="false" ht="15" hidden="false" customHeight="false" outlineLevel="0" collapsed="false">
      <c r="A132" s="14" t="s">
        <v>455</v>
      </c>
      <c r="B132" s="15" t="s">
        <v>456</v>
      </c>
      <c r="C132" s="14" t="s">
        <v>207</v>
      </c>
      <c r="D132" s="14" t="s">
        <v>125</v>
      </c>
      <c r="E132" s="14" t="n">
        <v>10</v>
      </c>
      <c r="F132" s="16" t="n">
        <v>24</v>
      </c>
      <c r="G132" s="17" t="n">
        <v>177.9</v>
      </c>
      <c r="H132" s="18" t="n">
        <f aca="false">IF(ISNUMBER(G132),IFERROR(G132/F132,""),"")</f>
        <v>7.4125</v>
      </c>
      <c r="I132" s="17" t="n">
        <v>12.9</v>
      </c>
      <c r="J132" s="17" t="n">
        <v>14.9</v>
      </c>
      <c r="K132" s="19" t="s">
        <v>64</v>
      </c>
      <c r="L132" s="20" t="n">
        <v>14.9</v>
      </c>
      <c r="M132" s="18" t="n">
        <f aca="false">IFERROR(L132*(1-Premissas!$B$5)*(1-Premissas!$B$6)-H132-Premissas!$B$7,"")</f>
        <v>5.60095</v>
      </c>
      <c r="N132" s="21" t="n">
        <f aca="false">IFERROR(M132/L132,"")</f>
        <v>0.375902684563758</v>
      </c>
      <c r="O132" s="18" t="n">
        <f aca="false">IFERROR(L132*(1-Premissas!$B$8)-Premissas!$B$9-H132-Premissas!$B$7,"")</f>
        <v>-1.5505</v>
      </c>
      <c r="P132" s="18" t="n">
        <f aca="false">IFERROR(L132*(1-Premissas!$B$10)-Premissas!$B$11-H132-Premissas!$B$7,"")</f>
        <v>-0.492499999999999</v>
      </c>
      <c r="Q132" s="18" t="n">
        <f aca="false">IFERROR(M132*F132,"")</f>
        <v>134.4228</v>
      </c>
      <c r="R132" s="22" t="n">
        <f aca="false">IFERROR(IF(M132&gt;0,ROUNDUP(Premissas!$B$12/M132,0),"sem lucro"),"")</f>
        <v>179</v>
      </c>
      <c r="S132" s="15" t="s">
        <v>82</v>
      </c>
      <c r="T132" s="23" t="s">
        <v>76</v>
      </c>
      <c r="U132" s="15" t="s">
        <v>457</v>
      </c>
      <c r="V132" s="18" t="n">
        <f aca="false">IF(AND(T132="S",ISNUMBER(L132),ISNUMBER(F132)),L132*F132*X132,0)</f>
        <v>0</v>
      </c>
      <c r="W132" s="18" t="n">
        <f aca="false">IF(AND(T132="S",ISNUMBER(Q132)),Q132*X132,0)</f>
        <v>0</v>
      </c>
      <c r="X132" s="23" t="n">
        <v>1</v>
      </c>
      <c r="Y132" s="18" t="n">
        <f aca="false">IF(AND(T132="S",ISNUMBER(G132)),G132*X132,0)</f>
        <v>0</v>
      </c>
    </row>
    <row r="133" customFormat="false" ht="15" hidden="false" customHeight="false" outlineLevel="0" collapsed="false">
      <c r="A133" s="14" t="s">
        <v>458</v>
      </c>
      <c r="B133" s="15" t="s">
        <v>459</v>
      </c>
      <c r="C133" s="14" t="s">
        <v>207</v>
      </c>
      <c r="D133" s="14" t="s">
        <v>117</v>
      </c>
      <c r="E133" s="14" t="n">
        <v>10</v>
      </c>
      <c r="F133" s="16" t="n">
        <v>24</v>
      </c>
      <c r="G133" s="17" t="n">
        <v>158.8</v>
      </c>
      <c r="H133" s="18" t="n">
        <f aca="false">IF(ISNUMBER(G133),IFERROR(G133/F133,""),"")</f>
        <v>6.61666666666667</v>
      </c>
      <c r="I133" s="17" t="n">
        <v>12.9</v>
      </c>
      <c r="J133" s="17" t="n">
        <v>12.9</v>
      </c>
      <c r="K133" s="19" t="s">
        <v>64</v>
      </c>
      <c r="L133" s="20" t="n">
        <v>12.9</v>
      </c>
      <c r="M133" s="18" t="n">
        <f aca="false">IFERROR(L133*(1-Premissas!$B$5)*(1-Premissas!$B$6)-H133-Premissas!$B$7,"")</f>
        <v>4.51578333333333</v>
      </c>
      <c r="N133" s="21" t="n">
        <f aca="false">IFERROR(M133/L133,"")</f>
        <v>0.350060723514212</v>
      </c>
      <c r="O133" s="18" t="n">
        <f aca="false">IFERROR(L133*(1-Premissas!$B$8)-Premissas!$B$9-H133-Premissas!$B$7,"")</f>
        <v>-2.51466666666667</v>
      </c>
      <c r="P133" s="18" t="n">
        <f aca="false">IFERROR(L133*(1-Premissas!$B$10)-Premissas!$B$11-H133-Premissas!$B$7,"")</f>
        <v>-1.29666666666667</v>
      </c>
      <c r="Q133" s="18" t="n">
        <f aca="false">IFERROR(M133*F133,"")</f>
        <v>108.3788</v>
      </c>
      <c r="R133" s="22" t="n">
        <f aca="false">IFERROR(IF(M133&gt;0,ROUNDUP(Premissas!$B$12/M133,0),"sem lucro"),"")</f>
        <v>222</v>
      </c>
      <c r="S133" s="15" t="s">
        <v>252</v>
      </c>
      <c r="T133" s="23" t="s">
        <v>76</v>
      </c>
      <c r="U133" s="15"/>
      <c r="V133" s="18" t="n">
        <f aca="false">IF(AND(T133="S",ISNUMBER(L133),ISNUMBER(F133)),L133*F133*X133,0)</f>
        <v>0</v>
      </c>
      <c r="W133" s="18" t="n">
        <f aca="false">IF(AND(T133="S",ISNUMBER(Q133)),Q133*X133,0)</f>
        <v>0</v>
      </c>
      <c r="X133" s="23" t="n">
        <v>1</v>
      </c>
      <c r="Y133" s="18" t="n">
        <f aca="false">IF(AND(T133="S",ISNUMBER(G133)),G133*X133,0)</f>
        <v>0</v>
      </c>
    </row>
    <row r="134" customFormat="false" ht="15" hidden="false" customHeight="false" outlineLevel="0" collapsed="false">
      <c r="A134" s="14" t="s">
        <v>460</v>
      </c>
      <c r="B134" s="15" t="s">
        <v>461</v>
      </c>
      <c r="C134" s="14" t="s">
        <v>207</v>
      </c>
      <c r="D134" s="14" t="s">
        <v>117</v>
      </c>
      <c r="E134" s="14" t="n">
        <v>11</v>
      </c>
      <c r="F134" s="16" t="n">
        <v>48</v>
      </c>
      <c r="G134" s="17" t="n">
        <v>304.6</v>
      </c>
      <c r="H134" s="18" t="n">
        <f aca="false">IF(ISNUMBER(G134),IFERROR(G134/F134,""),"")</f>
        <v>6.34583333333333</v>
      </c>
      <c r="I134" s="17" t="n">
        <v>7.69</v>
      </c>
      <c r="J134" s="17" t="n">
        <v>12.9</v>
      </c>
      <c r="K134" s="19" t="s">
        <v>64</v>
      </c>
      <c r="L134" s="20" t="n">
        <v>9.9</v>
      </c>
      <c r="M134" s="18" t="n">
        <f aca="false">IFERROR(L134*(1-Premissas!$B$5)*(1-Premissas!$B$6)-H134-Premissas!$B$7,"")</f>
        <v>1.96511666666667</v>
      </c>
      <c r="N134" s="21" t="n">
        <f aca="false">IFERROR(M134/L134,"")</f>
        <v>0.198496632996633</v>
      </c>
      <c r="O134" s="18" t="n">
        <f aca="false">IFERROR(L134*(1-Premissas!$B$8)-Premissas!$B$9-H134-Premissas!$B$7,"")</f>
        <v>-4.88383333333333</v>
      </c>
      <c r="P134" s="18" t="n">
        <f aca="false">IFERROR(L134*(1-Premissas!$B$10)-Premissas!$B$11-H134-Premissas!$B$7,"")</f>
        <v>-3.42583333333333</v>
      </c>
      <c r="Q134" s="18" t="n">
        <f aca="false">IFERROR(M134*F134,"")</f>
        <v>94.3256</v>
      </c>
      <c r="R134" s="22" t="n">
        <f aca="false">IFERROR(IF(M134&gt;0,ROUNDUP(Premissas!$B$12/M134,0),"sem lucro"),"")</f>
        <v>509</v>
      </c>
      <c r="S134" s="15" t="s">
        <v>266</v>
      </c>
      <c r="T134" s="23" t="s">
        <v>76</v>
      </c>
      <c r="U134" s="15" t="s">
        <v>462</v>
      </c>
      <c r="V134" s="18" t="n">
        <f aca="false">IF(AND(T134="S",ISNUMBER(L134),ISNUMBER(F134)),L134*F134*X134,0)</f>
        <v>0</v>
      </c>
      <c r="W134" s="18" t="n">
        <f aca="false">IF(AND(T134="S",ISNUMBER(Q134)),Q134*X134,0)</f>
        <v>0</v>
      </c>
      <c r="X134" s="23" t="n">
        <v>1</v>
      </c>
      <c r="Y134" s="18" t="n">
        <f aca="false">IF(AND(T134="S",ISNUMBER(G134)),G134*X134,0)</f>
        <v>0</v>
      </c>
    </row>
    <row r="135" customFormat="false" ht="15" hidden="false" customHeight="false" outlineLevel="0" collapsed="false">
      <c r="A135" s="14" t="s">
        <v>463</v>
      </c>
      <c r="B135" s="15" t="s">
        <v>464</v>
      </c>
      <c r="C135" s="14" t="s">
        <v>178</v>
      </c>
      <c r="D135" s="14" t="s">
        <v>157</v>
      </c>
      <c r="E135" s="14" t="n">
        <v>11</v>
      </c>
      <c r="F135" s="16" t="n">
        <v>1</v>
      </c>
      <c r="G135" s="17" t="n">
        <v>6.2</v>
      </c>
      <c r="H135" s="18" t="n">
        <f aca="false">IF(ISNUMBER(G135),IFERROR(G135/F135,""),"")</f>
        <v>6.2</v>
      </c>
      <c r="I135" s="17" t="n">
        <v>12.9</v>
      </c>
      <c r="J135" s="17" t="n">
        <v>14.9</v>
      </c>
      <c r="K135" s="19" t="s">
        <v>64</v>
      </c>
      <c r="L135" s="20" t="n">
        <v>14.9</v>
      </c>
      <c r="M135" s="18" t="n">
        <f aca="false">IFERROR(L135*(1-Premissas!$B$5)*(1-Premissas!$B$6)-H135-Premissas!$B$7,"")</f>
        <v>6.81345</v>
      </c>
      <c r="N135" s="21" t="n">
        <f aca="false">IFERROR(M135/L135,"")</f>
        <v>0.457278523489933</v>
      </c>
      <c r="O135" s="18" t="n">
        <f aca="false">IFERROR(L135*(1-Premissas!$B$8)-Premissas!$B$9-H135-Premissas!$B$7,"")</f>
        <v>-0.338</v>
      </c>
      <c r="P135" s="18" t="n">
        <f aca="false">IFERROR(L135*(1-Premissas!$B$10)-Premissas!$B$11-H135-Premissas!$B$7,"")</f>
        <v>0.720000000000002</v>
      </c>
      <c r="Q135" s="18" t="n">
        <f aca="false">IFERROR(M135*F135,"")</f>
        <v>6.81345</v>
      </c>
      <c r="R135" s="22" t="n">
        <f aca="false">IFERROR(IF(M135&gt;0,ROUNDUP(Premissas!$B$12/M135,0),"sem lucro"),"")</f>
        <v>147</v>
      </c>
      <c r="S135" s="15" t="s">
        <v>82</v>
      </c>
      <c r="T135" s="23" t="s">
        <v>76</v>
      </c>
      <c r="U135" s="15" t="s">
        <v>465</v>
      </c>
      <c r="V135" s="18" t="n">
        <f aca="false">IF(AND(T135="S",ISNUMBER(L135),ISNUMBER(F135)),L135*F135*X135,0)</f>
        <v>0</v>
      </c>
      <c r="W135" s="18" t="n">
        <f aca="false">IF(AND(T135="S",ISNUMBER(Q135)),Q135*X135,0)</f>
        <v>0</v>
      </c>
      <c r="X135" s="23" t="n">
        <v>12</v>
      </c>
      <c r="Y135" s="18" t="n">
        <f aca="false">IF(AND(T135="S",ISNUMBER(G135)),G135*X135,0)</f>
        <v>0</v>
      </c>
    </row>
    <row r="136" customFormat="false" ht="15" hidden="false" customHeight="false" outlineLevel="0" collapsed="false">
      <c r="A136" s="14" t="s">
        <v>466</v>
      </c>
      <c r="B136" s="15" t="s">
        <v>467</v>
      </c>
      <c r="C136" s="14" t="s">
        <v>178</v>
      </c>
      <c r="D136" s="14" t="s">
        <v>63</v>
      </c>
      <c r="E136" s="14" t="n">
        <v>11</v>
      </c>
      <c r="F136" s="16" t="n">
        <v>24</v>
      </c>
      <c r="G136" s="17" t="n">
        <v>151.5</v>
      </c>
      <c r="H136" s="18" t="n">
        <f aca="false">IF(ISNUMBER(G136),IFERROR(G136/F136,""),"")</f>
        <v>6.3125</v>
      </c>
      <c r="I136" s="17" t="n">
        <v>12.9</v>
      </c>
      <c r="J136" s="17" t="n">
        <v>12.9</v>
      </c>
      <c r="K136" s="19" t="s">
        <v>64</v>
      </c>
      <c r="L136" s="20" t="n">
        <v>12.9</v>
      </c>
      <c r="M136" s="18" t="n">
        <f aca="false">IFERROR(L136*(1-Premissas!$B$5)*(1-Premissas!$B$6)-H136-Premissas!$B$7,"")</f>
        <v>4.81995</v>
      </c>
      <c r="N136" s="21" t="n">
        <f aca="false">IFERROR(M136/L136,"")</f>
        <v>0.373639534883721</v>
      </c>
      <c r="O136" s="18" t="n">
        <f aca="false">IFERROR(L136*(1-Premissas!$B$8)-Premissas!$B$9-H136-Premissas!$B$7,"")</f>
        <v>-2.2105</v>
      </c>
      <c r="P136" s="18" t="n">
        <f aca="false">IFERROR(L136*(1-Premissas!$B$10)-Premissas!$B$11-H136-Premissas!$B$7,"")</f>
        <v>-0.9925</v>
      </c>
      <c r="Q136" s="18" t="n">
        <f aca="false">IFERROR(M136*F136,"")</f>
        <v>115.6788</v>
      </c>
      <c r="R136" s="22" t="n">
        <f aca="false">IFERROR(IF(M136&gt;0,ROUNDUP(Premissas!$B$12/M136,0),"sem lucro"),"")</f>
        <v>208</v>
      </c>
      <c r="S136" s="15" t="s">
        <v>82</v>
      </c>
      <c r="T136" s="23" t="s">
        <v>76</v>
      </c>
      <c r="U136" s="15"/>
      <c r="V136" s="18" t="n">
        <f aca="false">IF(AND(T136="S",ISNUMBER(L136),ISNUMBER(F136)),L136*F136*X136,0)</f>
        <v>0</v>
      </c>
      <c r="W136" s="18" t="n">
        <f aca="false">IF(AND(T136="S",ISNUMBER(Q136)),Q136*X136,0)</f>
        <v>0</v>
      </c>
      <c r="X136" s="23" t="n">
        <v>1</v>
      </c>
      <c r="Y136" s="18" t="n">
        <f aca="false">IF(AND(T136="S",ISNUMBER(G136)),G136*X136,0)</f>
        <v>0</v>
      </c>
    </row>
    <row r="137" customFormat="false" ht="15" hidden="false" customHeight="false" outlineLevel="0" collapsed="false">
      <c r="A137" s="14" t="s">
        <v>468</v>
      </c>
      <c r="B137" s="15" t="s">
        <v>469</v>
      </c>
      <c r="C137" s="14" t="s">
        <v>178</v>
      </c>
      <c r="D137" s="14" t="s">
        <v>117</v>
      </c>
      <c r="E137" s="14" t="n">
        <v>11</v>
      </c>
      <c r="F137" s="16" t="n">
        <v>24</v>
      </c>
      <c r="G137" s="17" t="n">
        <v>151.5</v>
      </c>
      <c r="H137" s="18" t="n">
        <f aca="false">IF(ISNUMBER(G137),IFERROR(G137/F137,""),"")</f>
        <v>6.3125</v>
      </c>
      <c r="I137" s="17" t="n">
        <v>7.52</v>
      </c>
      <c r="J137" s="17" t="n">
        <v>10</v>
      </c>
      <c r="K137" s="19" t="s">
        <v>64</v>
      </c>
      <c r="L137" s="20" t="n">
        <v>11.9</v>
      </c>
      <c r="M137" s="18" t="n">
        <f aca="false">IFERROR(L137*(1-Premissas!$B$5)*(1-Premissas!$B$6)-H137-Premissas!$B$7,"")</f>
        <v>3.87945</v>
      </c>
      <c r="N137" s="21" t="n">
        <f aca="false">IFERROR(M137/L137,"")</f>
        <v>0.326004201680672</v>
      </c>
      <c r="O137" s="18" t="n">
        <f aca="false">IFERROR(L137*(1-Premissas!$B$8)-Premissas!$B$9-H137-Premissas!$B$7,"")</f>
        <v>-3.0905</v>
      </c>
      <c r="P137" s="18" t="n">
        <f aca="false">IFERROR(L137*(1-Premissas!$B$10)-Premissas!$B$11-H137-Premissas!$B$7,"")</f>
        <v>-1.7925</v>
      </c>
      <c r="Q137" s="18" t="n">
        <f aca="false">IFERROR(M137*F137,"")</f>
        <v>93.1068</v>
      </c>
      <c r="R137" s="22" t="n">
        <f aca="false">IFERROR(IF(M137&gt;0,ROUNDUP(Premissas!$B$12/M137,0),"sem lucro"),"")</f>
        <v>258</v>
      </c>
      <c r="S137" s="15" t="s">
        <v>252</v>
      </c>
      <c r="T137" s="23" t="s">
        <v>76</v>
      </c>
      <c r="U137" s="15"/>
      <c r="V137" s="18" t="n">
        <f aca="false">IF(AND(T137="S",ISNUMBER(L137),ISNUMBER(F137)),L137*F137*X137,0)</f>
        <v>0</v>
      </c>
      <c r="W137" s="18" t="n">
        <f aca="false">IF(AND(T137="S",ISNUMBER(Q137)),Q137*X137,0)</f>
        <v>0</v>
      </c>
      <c r="X137" s="23" t="n">
        <v>1</v>
      </c>
      <c r="Y137" s="18" t="n">
        <f aca="false">IF(AND(T137="S",ISNUMBER(G137)),G137*X137,0)</f>
        <v>0</v>
      </c>
    </row>
    <row r="138" customFormat="false" ht="15" hidden="false" customHeight="false" outlineLevel="0" collapsed="false">
      <c r="A138" s="14" t="s">
        <v>470</v>
      </c>
      <c r="B138" s="15" t="s">
        <v>471</v>
      </c>
      <c r="C138" s="14" t="s">
        <v>178</v>
      </c>
      <c r="D138" s="14" t="s">
        <v>117</v>
      </c>
      <c r="E138" s="14" t="n">
        <v>11</v>
      </c>
      <c r="F138" s="16" t="n">
        <v>24</v>
      </c>
      <c r="G138" s="17" t="n">
        <v>144.4</v>
      </c>
      <c r="H138" s="18" t="n">
        <f aca="false">IF(ISNUMBER(G138),IFERROR(G138/F138,""),"")</f>
        <v>6.01666666666667</v>
      </c>
      <c r="I138" s="17" t="n">
        <v>7.52</v>
      </c>
      <c r="J138" s="17" t="n">
        <v>10</v>
      </c>
      <c r="K138" s="19" t="s">
        <v>64</v>
      </c>
      <c r="L138" s="20" t="n">
        <v>11.9</v>
      </c>
      <c r="M138" s="18" t="n">
        <f aca="false">IFERROR(L138*(1-Premissas!$B$5)*(1-Premissas!$B$6)-H138-Premissas!$B$7,"")</f>
        <v>4.17528333333333</v>
      </c>
      <c r="N138" s="21" t="n">
        <f aca="false">IFERROR(M138/L138,"")</f>
        <v>0.350864145658263</v>
      </c>
      <c r="O138" s="18" t="n">
        <f aca="false">IFERROR(L138*(1-Premissas!$B$8)-Premissas!$B$9-H138-Premissas!$B$7,"")</f>
        <v>-2.79466666666667</v>
      </c>
      <c r="P138" s="18" t="n">
        <f aca="false">IFERROR(L138*(1-Premissas!$B$10)-Premissas!$B$11-H138-Premissas!$B$7,"")</f>
        <v>-1.49666666666667</v>
      </c>
      <c r="Q138" s="18" t="n">
        <f aca="false">IFERROR(M138*F138,"")</f>
        <v>100.2068</v>
      </c>
      <c r="R138" s="22" t="n">
        <f aca="false">IFERROR(IF(M138&gt;0,ROUNDUP(Premissas!$B$12/M138,0),"sem lucro"),"")</f>
        <v>240</v>
      </c>
      <c r="S138" s="15" t="s">
        <v>252</v>
      </c>
      <c r="T138" s="23" t="s">
        <v>76</v>
      </c>
      <c r="U138" s="15"/>
      <c r="V138" s="18" t="n">
        <f aca="false">IF(AND(T138="S",ISNUMBER(L138),ISNUMBER(F138)),L138*F138*X138,0)</f>
        <v>0</v>
      </c>
      <c r="W138" s="18" t="n">
        <f aca="false">IF(AND(T138="S",ISNUMBER(Q138)),Q138*X138,0)</f>
        <v>0</v>
      </c>
      <c r="X138" s="23" t="n">
        <v>1</v>
      </c>
      <c r="Y138" s="18" t="n">
        <f aca="false">IF(AND(T138="S",ISNUMBER(G138)),G138*X138,0)</f>
        <v>0</v>
      </c>
    </row>
    <row r="139" customFormat="false" ht="15" hidden="false" customHeight="false" outlineLevel="0" collapsed="false">
      <c r="A139" s="14" t="s">
        <v>472</v>
      </c>
      <c r="B139" s="15" t="s">
        <v>473</v>
      </c>
      <c r="C139" s="14" t="s">
        <v>207</v>
      </c>
      <c r="D139" s="14" t="s">
        <v>117</v>
      </c>
      <c r="E139" s="14" t="n">
        <v>11</v>
      </c>
      <c r="F139" s="16" t="n">
        <v>24</v>
      </c>
      <c r="G139" s="17" t="n">
        <v>158.8</v>
      </c>
      <c r="H139" s="18" t="n">
        <f aca="false">IF(ISNUMBER(G139),IFERROR(G139/F139,""),"")</f>
        <v>6.61666666666667</v>
      </c>
      <c r="I139" s="17" t="n">
        <v>12.9</v>
      </c>
      <c r="J139" s="17" t="n">
        <v>12.9</v>
      </c>
      <c r="K139" s="19" t="s">
        <v>64</v>
      </c>
      <c r="L139" s="20" t="n">
        <v>12.9</v>
      </c>
      <c r="M139" s="18" t="n">
        <f aca="false">IFERROR(L139*(1-Premissas!$B$5)*(1-Premissas!$B$6)-H139-Premissas!$B$7,"")</f>
        <v>4.51578333333333</v>
      </c>
      <c r="N139" s="21" t="n">
        <f aca="false">IFERROR(M139/L139,"")</f>
        <v>0.350060723514212</v>
      </c>
      <c r="O139" s="18" t="n">
        <f aca="false">IFERROR(L139*(1-Premissas!$B$8)-Premissas!$B$9-H139-Premissas!$B$7,"")</f>
        <v>-2.51466666666667</v>
      </c>
      <c r="P139" s="18" t="n">
        <f aca="false">IFERROR(L139*(1-Premissas!$B$10)-Premissas!$B$11-H139-Premissas!$B$7,"")</f>
        <v>-1.29666666666667</v>
      </c>
      <c r="Q139" s="18" t="n">
        <f aca="false">IFERROR(M139*F139,"")</f>
        <v>108.3788</v>
      </c>
      <c r="R139" s="22" t="n">
        <f aca="false">IFERROR(IF(M139&gt;0,ROUNDUP(Premissas!$B$12/M139,0),"sem lucro"),"")</f>
        <v>222</v>
      </c>
      <c r="S139" s="15" t="s">
        <v>252</v>
      </c>
      <c r="T139" s="23" t="s">
        <v>76</v>
      </c>
      <c r="U139" s="15"/>
      <c r="V139" s="18" t="n">
        <f aca="false">IF(AND(T139="S",ISNUMBER(L139),ISNUMBER(F139)),L139*F139*X139,0)</f>
        <v>0</v>
      </c>
      <c r="W139" s="18" t="n">
        <f aca="false">IF(AND(T139="S",ISNUMBER(Q139)),Q139*X139,0)</f>
        <v>0</v>
      </c>
      <c r="X139" s="23" t="n">
        <v>1</v>
      </c>
      <c r="Y139" s="18" t="n">
        <f aca="false">IF(AND(T139="S",ISNUMBER(G139)),G139*X139,0)</f>
        <v>0</v>
      </c>
    </row>
    <row r="140" customFormat="false" ht="15" hidden="false" customHeight="false" outlineLevel="0" collapsed="false">
      <c r="A140" s="14" t="s">
        <v>474</v>
      </c>
      <c r="B140" s="15" t="s">
        <v>475</v>
      </c>
      <c r="C140" s="14" t="s">
        <v>207</v>
      </c>
      <c r="D140" s="14" t="s">
        <v>117</v>
      </c>
      <c r="E140" s="14" t="n">
        <v>11</v>
      </c>
      <c r="F140" s="16" t="n">
        <v>24</v>
      </c>
      <c r="G140" s="17" t="n">
        <v>126.4</v>
      </c>
      <c r="H140" s="18" t="n">
        <f aca="false">IF(ISNUMBER(G140),IFERROR(G140/F140,""),"")</f>
        <v>5.26666666666667</v>
      </c>
      <c r="I140" s="17" t="n">
        <v>12.9</v>
      </c>
      <c r="J140" s="17" t="n">
        <v>12.9</v>
      </c>
      <c r="K140" s="19" t="s">
        <v>64</v>
      </c>
      <c r="L140" s="20" t="n">
        <v>12.9</v>
      </c>
      <c r="M140" s="18" t="n">
        <f aca="false">IFERROR(L140*(1-Premissas!$B$5)*(1-Premissas!$B$6)-H140-Premissas!$B$7,"")</f>
        <v>5.86578333333333</v>
      </c>
      <c r="N140" s="21" t="n">
        <f aca="false">IFERROR(M140/L140,"")</f>
        <v>0.454711886304909</v>
      </c>
      <c r="O140" s="18" t="n">
        <f aca="false">IFERROR(L140*(1-Premissas!$B$8)-Premissas!$B$9-H140-Premissas!$B$7,"")</f>
        <v>-1.16466666666667</v>
      </c>
      <c r="P140" s="18" t="n">
        <f aca="false">IFERROR(L140*(1-Premissas!$B$10)-Premissas!$B$11-H140-Premissas!$B$7,"")</f>
        <v>0.0533333333333337</v>
      </c>
      <c r="Q140" s="18" t="n">
        <f aca="false">IFERROR(M140*F140,"")</f>
        <v>140.7788</v>
      </c>
      <c r="R140" s="22" t="n">
        <f aca="false">IFERROR(IF(M140&gt;0,ROUNDUP(Premissas!$B$12/M140,0),"sem lucro"),"")</f>
        <v>171</v>
      </c>
      <c r="S140" s="15" t="s">
        <v>252</v>
      </c>
      <c r="T140" s="23" t="s">
        <v>76</v>
      </c>
      <c r="U140" s="15"/>
      <c r="V140" s="18" t="n">
        <f aca="false">IF(AND(T140="S",ISNUMBER(L140),ISNUMBER(F140)),L140*F140*X140,0)</f>
        <v>0</v>
      </c>
      <c r="W140" s="18" t="n">
        <f aca="false">IF(AND(T140="S",ISNUMBER(Q140)),Q140*X140,0)</f>
        <v>0</v>
      </c>
      <c r="X140" s="23" t="n">
        <v>1</v>
      </c>
      <c r="Y140" s="18" t="n">
        <f aca="false">IF(AND(T140="S",ISNUMBER(G140)),G140*X140,0)</f>
        <v>0</v>
      </c>
    </row>
    <row r="141" customFormat="false" ht="15" hidden="false" customHeight="false" outlineLevel="0" collapsed="false">
      <c r="A141" s="14" t="s">
        <v>476</v>
      </c>
      <c r="B141" s="15" t="s">
        <v>477</v>
      </c>
      <c r="C141" s="14" t="s">
        <v>207</v>
      </c>
      <c r="D141" s="14" t="s">
        <v>117</v>
      </c>
      <c r="E141" s="14" t="n">
        <v>11</v>
      </c>
      <c r="F141" s="16" t="n">
        <v>48</v>
      </c>
      <c r="G141" s="17" t="n">
        <v>317.6</v>
      </c>
      <c r="H141" s="18" t="n">
        <f aca="false">IF(ISNUMBER(G141),IFERROR(G141/F141,""),"")</f>
        <v>6.61666666666667</v>
      </c>
      <c r="I141" s="17" t="n">
        <v>10</v>
      </c>
      <c r="J141" s="17" t="n">
        <v>24.99</v>
      </c>
      <c r="K141" s="19" t="s">
        <v>64</v>
      </c>
      <c r="L141" s="20" t="n">
        <v>14.9</v>
      </c>
      <c r="M141" s="18" t="n">
        <f aca="false">IFERROR(L141*(1-Premissas!$B$5)*(1-Premissas!$B$6)-H141-Premissas!$B$7,"")</f>
        <v>6.39678333333333</v>
      </c>
      <c r="N141" s="21" t="n">
        <f aca="false">IFERROR(M141/L141,"")</f>
        <v>0.429314317673378</v>
      </c>
      <c r="O141" s="18" t="n">
        <f aca="false">IFERROR(L141*(1-Premissas!$B$8)-Premissas!$B$9-H141-Premissas!$B$7,"")</f>
        <v>-0.754666666666667</v>
      </c>
      <c r="P141" s="18" t="n">
        <f aca="false">IFERROR(L141*(1-Premissas!$B$10)-Premissas!$B$11-H141-Premissas!$B$7,"")</f>
        <v>0.303333333333335</v>
      </c>
      <c r="Q141" s="18" t="n">
        <f aca="false">IFERROR(M141*F141,"")</f>
        <v>307.0456</v>
      </c>
      <c r="R141" s="22" t="n">
        <f aca="false">IFERROR(IF(M141&gt;0,ROUNDUP(Premissas!$B$12/M141,0),"sem lucro"),"")</f>
        <v>157</v>
      </c>
      <c r="S141" s="15" t="s">
        <v>478</v>
      </c>
      <c r="T141" s="23" t="s">
        <v>76</v>
      </c>
      <c r="U141" s="15" t="s">
        <v>208</v>
      </c>
      <c r="V141" s="18" t="n">
        <f aca="false">IF(AND(T141="S",ISNUMBER(L141),ISNUMBER(F141)),L141*F141*X141,0)</f>
        <v>0</v>
      </c>
      <c r="W141" s="18" t="n">
        <f aca="false">IF(AND(T141="S",ISNUMBER(Q141)),Q141*X141,0)</f>
        <v>0</v>
      </c>
      <c r="X141" s="23" t="n">
        <v>1</v>
      </c>
      <c r="Y141" s="18" t="n">
        <f aca="false">IF(AND(T141="S",ISNUMBER(G141)),G141*X141,0)</f>
        <v>0</v>
      </c>
    </row>
    <row r="142" customFormat="false" ht="15" hidden="false" customHeight="false" outlineLevel="0" collapsed="false">
      <c r="A142" s="14" t="s">
        <v>479</v>
      </c>
      <c r="B142" s="15" t="s">
        <v>480</v>
      </c>
      <c r="C142" s="14" t="s">
        <v>207</v>
      </c>
      <c r="D142" s="14" t="s">
        <v>63</v>
      </c>
      <c r="E142" s="14" t="n">
        <v>11</v>
      </c>
      <c r="F142" s="16" t="n">
        <v>24</v>
      </c>
      <c r="G142" s="17" t="n">
        <v>158.8</v>
      </c>
      <c r="H142" s="18" t="n">
        <f aca="false">IF(ISNUMBER(G142),IFERROR(G142/F142,""),"")</f>
        <v>6.61666666666667</v>
      </c>
      <c r="I142" s="17" t="n">
        <v>14.9</v>
      </c>
      <c r="J142" s="17" t="n">
        <v>18.5</v>
      </c>
      <c r="K142" s="19" t="s">
        <v>64</v>
      </c>
      <c r="L142" s="20" t="n">
        <v>14.9</v>
      </c>
      <c r="M142" s="18" t="n">
        <f aca="false">IFERROR(L142*(1-Premissas!$B$5)*(1-Premissas!$B$6)-H142-Premissas!$B$7,"")</f>
        <v>6.39678333333333</v>
      </c>
      <c r="N142" s="21" t="n">
        <f aca="false">IFERROR(M142/L142,"")</f>
        <v>0.429314317673378</v>
      </c>
      <c r="O142" s="18" t="n">
        <f aca="false">IFERROR(L142*(1-Premissas!$B$8)-Premissas!$B$9-H142-Premissas!$B$7,"")</f>
        <v>-0.754666666666667</v>
      </c>
      <c r="P142" s="18" t="n">
        <f aca="false">IFERROR(L142*(1-Premissas!$B$10)-Premissas!$B$11-H142-Premissas!$B$7,"")</f>
        <v>0.303333333333335</v>
      </c>
      <c r="Q142" s="18" t="n">
        <f aca="false">IFERROR(M142*F142,"")</f>
        <v>153.5228</v>
      </c>
      <c r="R142" s="22" t="n">
        <f aca="false">IFERROR(IF(M142&gt;0,ROUNDUP(Premissas!$B$12/M142,0),"sem lucro"),"")</f>
        <v>157</v>
      </c>
      <c r="S142" s="15" t="s">
        <v>82</v>
      </c>
      <c r="T142" s="23" t="s">
        <v>76</v>
      </c>
      <c r="U142" s="15"/>
      <c r="V142" s="18" t="n">
        <f aca="false">IF(AND(T142="S",ISNUMBER(L142),ISNUMBER(F142)),L142*F142*X142,0)</f>
        <v>0</v>
      </c>
      <c r="W142" s="18" t="n">
        <f aca="false">IF(AND(T142="S",ISNUMBER(Q142)),Q142*X142,0)</f>
        <v>0</v>
      </c>
      <c r="X142" s="23" t="n">
        <v>1</v>
      </c>
      <c r="Y142" s="18" t="n">
        <f aca="false">IF(AND(T142="S",ISNUMBER(G142)),G142*X142,0)</f>
        <v>0</v>
      </c>
    </row>
    <row r="143" customFormat="false" ht="15" hidden="false" customHeight="false" outlineLevel="0" collapsed="false">
      <c r="A143" s="14" t="s">
        <v>481</v>
      </c>
      <c r="B143" s="15" t="s">
        <v>482</v>
      </c>
      <c r="C143" s="14" t="s">
        <v>207</v>
      </c>
      <c r="D143" s="14" t="s">
        <v>117</v>
      </c>
      <c r="E143" s="14" t="n">
        <v>11</v>
      </c>
      <c r="F143" s="16" t="n">
        <v>24</v>
      </c>
      <c r="G143" s="17" t="n">
        <v>160.4</v>
      </c>
      <c r="H143" s="18" t="n">
        <f aca="false">IF(ISNUMBER(G143),IFERROR(G143/F143,""),"")</f>
        <v>6.68333333333333</v>
      </c>
      <c r="I143" s="17" t="n">
        <v>12.9</v>
      </c>
      <c r="J143" s="17" t="n">
        <v>12.9</v>
      </c>
      <c r="K143" s="19" t="s">
        <v>64</v>
      </c>
      <c r="L143" s="20" t="n">
        <v>12.9</v>
      </c>
      <c r="M143" s="18" t="n">
        <f aca="false">IFERROR(L143*(1-Premissas!$B$5)*(1-Premissas!$B$6)-H143-Premissas!$B$7,"")</f>
        <v>4.44911666666667</v>
      </c>
      <c r="N143" s="21" t="n">
        <f aca="false">IFERROR(M143/L143,"")</f>
        <v>0.344892764857881</v>
      </c>
      <c r="O143" s="18" t="n">
        <f aca="false">IFERROR(L143*(1-Premissas!$B$8)-Premissas!$B$9-H143-Premissas!$B$7,"")</f>
        <v>-2.58133333333333</v>
      </c>
      <c r="P143" s="18" t="n">
        <f aca="false">IFERROR(L143*(1-Premissas!$B$10)-Premissas!$B$11-H143-Premissas!$B$7,"")</f>
        <v>-1.36333333333333</v>
      </c>
      <c r="Q143" s="18" t="n">
        <f aca="false">IFERROR(M143*F143,"")</f>
        <v>106.7788</v>
      </c>
      <c r="R143" s="22" t="n">
        <f aca="false">IFERROR(IF(M143&gt;0,ROUNDUP(Premissas!$B$12/M143,0),"sem lucro"),"")</f>
        <v>225</v>
      </c>
      <c r="S143" s="15" t="s">
        <v>252</v>
      </c>
      <c r="T143" s="23" t="s">
        <v>76</v>
      </c>
      <c r="U143" s="15"/>
      <c r="V143" s="18" t="n">
        <f aca="false">IF(AND(T143="S",ISNUMBER(L143),ISNUMBER(F143)),L143*F143*X143,0)</f>
        <v>0</v>
      </c>
      <c r="W143" s="18" t="n">
        <f aca="false">IF(AND(T143="S",ISNUMBER(Q143)),Q143*X143,0)</f>
        <v>0</v>
      </c>
      <c r="X143" s="23" t="n">
        <v>1</v>
      </c>
      <c r="Y143" s="18" t="n">
        <f aca="false">IF(AND(T143="S",ISNUMBER(G143)),G143*X143,0)</f>
        <v>0</v>
      </c>
    </row>
    <row r="144" customFormat="false" ht="15" hidden="false" customHeight="false" outlineLevel="0" collapsed="false">
      <c r="A144" s="14" t="s">
        <v>483</v>
      </c>
      <c r="B144" s="15" t="s">
        <v>484</v>
      </c>
      <c r="C144" s="14" t="s">
        <v>207</v>
      </c>
      <c r="D144" s="14" t="s">
        <v>63</v>
      </c>
      <c r="E144" s="14" t="n">
        <v>11</v>
      </c>
      <c r="F144" s="16" t="n">
        <v>24</v>
      </c>
      <c r="G144" s="17" t="n">
        <v>126.4</v>
      </c>
      <c r="H144" s="18" t="n">
        <f aca="false">IF(ISNUMBER(G144),IFERROR(G144/F144,""),"")</f>
        <v>5.26666666666667</v>
      </c>
      <c r="I144" s="17" t="n">
        <v>12.9</v>
      </c>
      <c r="J144" s="17" t="n">
        <v>12.9</v>
      </c>
      <c r="K144" s="19" t="s">
        <v>64</v>
      </c>
      <c r="L144" s="20" t="n">
        <v>12.9</v>
      </c>
      <c r="M144" s="18" t="n">
        <f aca="false">IFERROR(L144*(1-Premissas!$B$5)*(1-Premissas!$B$6)-H144-Premissas!$B$7,"")</f>
        <v>5.86578333333333</v>
      </c>
      <c r="N144" s="21" t="n">
        <f aca="false">IFERROR(M144/L144,"")</f>
        <v>0.454711886304909</v>
      </c>
      <c r="O144" s="18" t="n">
        <f aca="false">IFERROR(L144*(1-Premissas!$B$8)-Premissas!$B$9-H144-Premissas!$B$7,"")</f>
        <v>-1.16466666666667</v>
      </c>
      <c r="P144" s="18" t="n">
        <f aca="false">IFERROR(L144*(1-Premissas!$B$10)-Premissas!$B$11-H144-Premissas!$B$7,"")</f>
        <v>0.0533333333333337</v>
      </c>
      <c r="Q144" s="18" t="n">
        <f aca="false">IFERROR(M144*F144,"")</f>
        <v>140.7788</v>
      </c>
      <c r="R144" s="22" t="n">
        <f aca="false">IFERROR(IF(M144&gt;0,ROUNDUP(Premissas!$B$12/M144,0),"sem lucro"),"")</f>
        <v>171</v>
      </c>
      <c r="S144" s="15" t="s">
        <v>266</v>
      </c>
      <c r="T144" s="23" t="s">
        <v>76</v>
      </c>
      <c r="U144" s="15" t="s">
        <v>485</v>
      </c>
      <c r="V144" s="18" t="n">
        <f aca="false">IF(AND(T144="S",ISNUMBER(L144),ISNUMBER(F144)),L144*F144*X144,0)</f>
        <v>0</v>
      </c>
      <c r="W144" s="18" t="n">
        <f aca="false">IF(AND(T144="S",ISNUMBER(Q144)),Q144*X144,0)</f>
        <v>0</v>
      </c>
      <c r="X144" s="23" t="n">
        <v>1</v>
      </c>
      <c r="Y144" s="18" t="n">
        <f aca="false">IF(AND(T144="S",ISNUMBER(G144)),G144*X144,0)</f>
        <v>0</v>
      </c>
    </row>
    <row r="145" customFormat="false" ht="15" hidden="false" customHeight="false" outlineLevel="0" collapsed="false">
      <c r="A145" s="14" t="s">
        <v>486</v>
      </c>
      <c r="B145" s="15" t="s">
        <v>487</v>
      </c>
      <c r="C145" s="14" t="s">
        <v>259</v>
      </c>
      <c r="D145" s="14" t="s">
        <v>108</v>
      </c>
      <c r="E145" s="14" t="n">
        <v>11</v>
      </c>
      <c r="F145" s="16" t="n">
        <v>1</v>
      </c>
      <c r="G145" s="17" t="n">
        <v>3.99</v>
      </c>
      <c r="H145" s="18" t="n">
        <f aca="false">IF(ISNUMBER(G145),IFERROR(G145/F145,""),"")</f>
        <v>3.99</v>
      </c>
      <c r="I145" s="17" t="n">
        <v>7.9</v>
      </c>
      <c r="J145" s="17" t="n">
        <v>9.9</v>
      </c>
      <c r="K145" s="19" t="s">
        <v>64</v>
      </c>
      <c r="L145" s="20" t="n">
        <v>8.9</v>
      </c>
      <c r="M145" s="18" t="n">
        <f aca="false">IFERROR(L145*(1-Premissas!$B$5)*(1-Premissas!$B$6)-H145-Premissas!$B$7,"")</f>
        <v>3.38045</v>
      </c>
      <c r="N145" s="21" t="n">
        <f aca="false">IFERROR(M145/L145,"")</f>
        <v>0.379825842696629</v>
      </c>
      <c r="O145" s="18" t="n">
        <f aca="false">IFERROR(L145*(1-Premissas!$B$8)-Premissas!$B$9-H145-Premissas!$B$7,"")</f>
        <v>-3.408</v>
      </c>
      <c r="P145" s="18" t="n">
        <f aca="false">IFERROR(L145*(1-Premissas!$B$10)-Premissas!$B$11-H145-Premissas!$B$7,"")</f>
        <v>-1.87</v>
      </c>
      <c r="Q145" s="18" t="n">
        <f aca="false">IFERROR(M145*F145,"")</f>
        <v>3.38045</v>
      </c>
      <c r="R145" s="22" t="n">
        <f aca="false">IFERROR(IF(M145&gt;0,ROUNDUP(Premissas!$B$12/M145,0),"sem lucro"),"")</f>
        <v>296</v>
      </c>
      <c r="S145" s="15" t="s">
        <v>488</v>
      </c>
      <c r="T145" s="23" t="s">
        <v>76</v>
      </c>
      <c r="U145" s="15"/>
      <c r="V145" s="18" t="n">
        <f aca="false">IF(AND(T145="S",ISNUMBER(L145),ISNUMBER(F145)),L145*F145*X145,0)</f>
        <v>0</v>
      </c>
      <c r="W145" s="18" t="n">
        <f aca="false">IF(AND(T145="S",ISNUMBER(Q145)),Q145*X145,0)</f>
        <v>0</v>
      </c>
      <c r="X145" s="23" t="n">
        <v>12</v>
      </c>
      <c r="Y145" s="18" t="n">
        <f aca="false">IF(AND(T145="S",ISNUMBER(G145)),G145*X145,0)</f>
        <v>0</v>
      </c>
    </row>
    <row r="146" customFormat="false" ht="15" hidden="false" customHeight="false" outlineLevel="0" collapsed="false">
      <c r="A146" s="14" t="s">
        <v>489</v>
      </c>
      <c r="B146" s="15" t="s">
        <v>490</v>
      </c>
      <c r="C146" s="14" t="s">
        <v>439</v>
      </c>
      <c r="D146" s="14" t="s">
        <v>63</v>
      </c>
      <c r="E146" s="14" t="n">
        <v>11</v>
      </c>
      <c r="F146" s="16" t="n">
        <v>24</v>
      </c>
      <c r="G146" s="17" t="n">
        <v>145.8</v>
      </c>
      <c r="H146" s="18" t="n">
        <f aca="false">IF(ISNUMBER(G146),IFERROR(G146/F146,""),"")</f>
        <v>6.075</v>
      </c>
      <c r="I146" s="17" t="n">
        <v>19.9</v>
      </c>
      <c r="J146" s="17" t="n">
        <v>26.9</v>
      </c>
      <c r="K146" s="19" t="s">
        <v>64</v>
      </c>
      <c r="L146" s="20" t="n">
        <v>19.9</v>
      </c>
      <c r="M146" s="18" t="n">
        <f aca="false">IFERROR(L146*(1-Premissas!$B$5)*(1-Premissas!$B$6)-H146-Premissas!$B$7,"")</f>
        <v>11.64095</v>
      </c>
      <c r="N146" s="21" t="n">
        <f aca="false">IFERROR(M146/L146,"")</f>
        <v>0.584972361809045</v>
      </c>
      <c r="O146" s="18" t="n">
        <f aca="false">IFERROR(L146*(1-Premissas!$B$8)-Premissas!$B$9-H146-Premissas!$B$7,"")</f>
        <v>4.187</v>
      </c>
      <c r="P146" s="18" t="n">
        <f aca="false">IFERROR(L146*(1-Premissas!$B$10)-Premissas!$B$11-H146-Premissas!$B$7,"")</f>
        <v>4.845</v>
      </c>
      <c r="Q146" s="18" t="n">
        <f aca="false">IFERROR(M146*F146,"")</f>
        <v>279.3828</v>
      </c>
      <c r="R146" s="22" t="n">
        <f aca="false">IFERROR(IF(M146&gt;0,ROUNDUP(Premissas!$B$12/M146,0),"sem lucro"),"")</f>
        <v>86</v>
      </c>
      <c r="S146" s="15" t="s">
        <v>491</v>
      </c>
      <c r="T146" s="23" t="s">
        <v>66</v>
      </c>
      <c r="U146" s="15" t="s">
        <v>492</v>
      </c>
      <c r="V146" s="18" t="n">
        <f aca="false">IF(AND(T146="S",ISNUMBER(L146),ISNUMBER(F146)),L146*F146*X146,0)</f>
        <v>477.6</v>
      </c>
      <c r="W146" s="18" t="n">
        <f aca="false">IF(AND(T146="S",ISNUMBER(Q146)),Q146*X146,0)</f>
        <v>279.3828</v>
      </c>
      <c r="X146" s="23" t="n">
        <v>1</v>
      </c>
      <c r="Y146" s="18" t="n">
        <f aca="false">IF(AND(T146="S",ISNUMBER(G146)),G146*X146,0)</f>
        <v>145.8</v>
      </c>
    </row>
    <row r="147" customFormat="false" ht="15" hidden="false" customHeight="false" outlineLevel="0" collapsed="false">
      <c r="A147" s="14" t="s">
        <v>493</v>
      </c>
      <c r="B147" s="15" t="s">
        <v>494</v>
      </c>
      <c r="C147" s="14" t="s">
        <v>439</v>
      </c>
      <c r="D147" s="14" t="s">
        <v>63</v>
      </c>
      <c r="E147" s="14" t="n">
        <v>11</v>
      </c>
      <c r="F147" s="16" t="n">
        <v>24</v>
      </c>
      <c r="G147" s="17" t="n">
        <v>145.8</v>
      </c>
      <c r="H147" s="18" t="n">
        <f aca="false">IF(ISNUMBER(G147),IFERROR(G147/F147,""),"")</f>
        <v>6.075</v>
      </c>
      <c r="I147" s="17" t="n">
        <v>19.9</v>
      </c>
      <c r="J147" s="17" t="n">
        <v>26.9</v>
      </c>
      <c r="K147" s="19" t="s">
        <v>64</v>
      </c>
      <c r="L147" s="20" t="n">
        <v>19.9</v>
      </c>
      <c r="M147" s="18" t="n">
        <f aca="false">IFERROR(L147*(1-Premissas!$B$5)*(1-Premissas!$B$6)-H147-Premissas!$B$7,"")</f>
        <v>11.64095</v>
      </c>
      <c r="N147" s="21" t="n">
        <f aca="false">IFERROR(M147/L147,"")</f>
        <v>0.584972361809045</v>
      </c>
      <c r="O147" s="18" t="n">
        <f aca="false">IFERROR(L147*(1-Premissas!$B$8)-Premissas!$B$9-H147-Premissas!$B$7,"")</f>
        <v>4.187</v>
      </c>
      <c r="P147" s="18" t="n">
        <f aca="false">IFERROR(L147*(1-Premissas!$B$10)-Premissas!$B$11-H147-Premissas!$B$7,"")</f>
        <v>4.845</v>
      </c>
      <c r="Q147" s="18" t="n">
        <f aca="false">IFERROR(M147*F147,"")</f>
        <v>279.3828</v>
      </c>
      <c r="R147" s="22" t="n">
        <f aca="false">IFERROR(IF(M147&gt;0,ROUNDUP(Premissas!$B$12/M147,0),"sem lucro"),"")</f>
        <v>86</v>
      </c>
      <c r="S147" s="15" t="s">
        <v>491</v>
      </c>
      <c r="T147" s="23" t="s">
        <v>66</v>
      </c>
      <c r="U147" s="15" t="s">
        <v>495</v>
      </c>
      <c r="V147" s="18" t="n">
        <f aca="false">IF(AND(T147="S",ISNUMBER(L147),ISNUMBER(F147)),L147*F147*X147,0)</f>
        <v>477.6</v>
      </c>
      <c r="W147" s="18" t="n">
        <f aca="false">IF(AND(T147="S",ISNUMBER(Q147)),Q147*X147,0)</f>
        <v>279.3828</v>
      </c>
      <c r="X147" s="23" t="n">
        <v>1</v>
      </c>
      <c r="Y147" s="18" t="n">
        <f aca="false">IF(AND(T147="S",ISNUMBER(G147)),G147*X147,0)</f>
        <v>145.8</v>
      </c>
    </row>
    <row r="148" customFormat="false" ht="15" hidden="false" customHeight="false" outlineLevel="0" collapsed="false">
      <c r="A148" s="14" t="s">
        <v>496</v>
      </c>
      <c r="B148" s="15" t="s">
        <v>497</v>
      </c>
      <c r="C148" s="14" t="s">
        <v>439</v>
      </c>
      <c r="D148" s="14" t="s">
        <v>63</v>
      </c>
      <c r="E148" s="14" t="n">
        <v>11</v>
      </c>
      <c r="F148" s="16" t="n">
        <v>24</v>
      </c>
      <c r="G148" s="17" t="n">
        <v>145.8</v>
      </c>
      <c r="H148" s="18" t="n">
        <f aca="false">IF(ISNUMBER(G148),IFERROR(G148/F148,""),"")</f>
        <v>6.075</v>
      </c>
      <c r="I148" s="17" t="n">
        <v>23.7</v>
      </c>
      <c r="J148" s="17" t="n">
        <v>26.9</v>
      </c>
      <c r="K148" s="14" t="s">
        <v>93</v>
      </c>
      <c r="L148" s="20" t="n">
        <v>19.9</v>
      </c>
      <c r="M148" s="18" t="n">
        <f aca="false">IFERROR(L148*(1-Premissas!$B$5)*(1-Premissas!$B$6)-H148-Premissas!$B$7,"")</f>
        <v>11.64095</v>
      </c>
      <c r="N148" s="21" t="n">
        <f aca="false">IFERROR(M148/L148,"")</f>
        <v>0.584972361809045</v>
      </c>
      <c r="O148" s="18" t="n">
        <f aca="false">IFERROR(L148*(1-Premissas!$B$8)-Premissas!$B$9-H148-Premissas!$B$7,"")</f>
        <v>4.187</v>
      </c>
      <c r="P148" s="18" t="n">
        <f aca="false">IFERROR(L148*(1-Premissas!$B$10)-Premissas!$B$11-H148-Premissas!$B$7,"")</f>
        <v>4.845</v>
      </c>
      <c r="Q148" s="18" t="n">
        <f aca="false">IFERROR(M148*F148,"")</f>
        <v>279.3828</v>
      </c>
      <c r="R148" s="22" t="n">
        <f aca="false">IFERROR(IF(M148&gt;0,ROUNDUP(Premissas!$B$12/M148,0),"sem lucro"),"")</f>
        <v>86</v>
      </c>
      <c r="S148" s="15" t="s">
        <v>65</v>
      </c>
      <c r="T148" s="23" t="s">
        <v>66</v>
      </c>
      <c r="U148" s="15" t="s">
        <v>498</v>
      </c>
      <c r="V148" s="18" t="n">
        <f aca="false">IF(AND(T148="S",ISNUMBER(L148),ISNUMBER(F148)),L148*F148*X148,0)</f>
        <v>477.6</v>
      </c>
      <c r="W148" s="18" t="n">
        <f aca="false">IF(AND(T148="S",ISNUMBER(Q148)),Q148*X148,0)</f>
        <v>279.3828</v>
      </c>
      <c r="X148" s="23" t="n">
        <v>1</v>
      </c>
      <c r="Y148" s="18" t="n">
        <f aca="false">IF(AND(T148="S",ISNUMBER(G148)),G148*X148,0)</f>
        <v>145.8</v>
      </c>
    </row>
    <row r="149" customFormat="false" ht="15" hidden="false" customHeight="false" outlineLevel="0" collapsed="false">
      <c r="A149" s="14" t="s">
        <v>499</v>
      </c>
      <c r="B149" s="15" t="s">
        <v>500</v>
      </c>
      <c r="C149" s="14" t="s">
        <v>439</v>
      </c>
      <c r="D149" s="14" t="s">
        <v>117</v>
      </c>
      <c r="E149" s="14" t="n">
        <v>11</v>
      </c>
      <c r="F149" s="16" t="n">
        <v>24</v>
      </c>
      <c r="G149" s="17" t="n">
        <v>116.7</v>
      </c>
      <c r="H149" s="18" t="n">
        <f aca="false">IF(ISNUMBER(G149),IFERROR(G149/F149,""),"")</f>
        <v>4.8625</v>
      </c>
      <c r="I149" s="17" t="n">
        <v>12.9</v>
      </c>
      <c r="J149" s="17" t="n">
        <v>14.9</v>
      </c>
      <c r="K149" s="19" t="s">
        <v>64</v>
      </c>
      <c r="L149" s="20" t="n">
        <v>12.9</v>
      </c>
      <c r="M149" s="18" t="n">
        <f aca="false">IFERROR(L149*(1-Premissas!$B$5)*(1-Premissas!$B$6)-H149-Premissas!$B$7,"")</f>
        <v>6.26995</v>
      </c>
      <c r="N149" s="21" t="n">
        <f aca="false">IFERROR(M149/L149,"")</f>
        <v>0.486042635658915</v>
      </c>
      <c r="O149" s="18" t="n">
        <f aca="false">IFERROR(L149*(1-Premissas!$B$8)-Premissas!$B$9-H149-Premissas!$B$7,"")</f>
        <v>-0.7605</v>
      </c>
      <c r="P149" s="18" t="n">
        <f aca="false">IFERROR(L149*(1-Premissas!$B$10)-Premissas!$B$11-H149-Premissas!$B$7,"")</f>
        <v>0.4575</v>
      </c>
      <c r="Q149" s="18" t="n">
        <f aca="false">IFERROR(M149*F149,"")</f>
        <v>150.4788</v>
      </c>
      <c r="R149" s="22" t="n">
        <f aca="false">IFERROR(IF(M149&gt;0,ROUNDUP(Premissas!$B$12/M149,0),"sem lucro"),"")</f>
        <v>160</v>
      </c>
      <c r="S149" s="15" t="s">
        <v>82</v>
      </c>
      <c r="T149" s="23" t="s">
        <v>76</v>
      </c>
      <c r="U149" s="15"/>
      <c r="V149" s="18" t="n">
        <f aca="false">IF(AND(T149="S",ISNUMBER(L149),ISNUMBER(F149)),L149*F149*X149,0)</f>
        <v>0</v>
      </c>
      <c r="W149" s="18" t="n">
        <f aca="false">IF(AND(T149="S",ISNUMBER(Q149)),Q149*X149,0)</f>
        <v>0</v>
      </c>
      <c r="X149" s="23" t="n">
        <v>1</v>
      </c>
      <c r="Y149" s="18" t="n">
        <f aca="false">IF(AND(T149="S",ISNUMBER(G149)),G149*X149,0)</f>
        <v>0</v>
      </c>
    </row>
    <row r="150" customFormat="false" ht="15" hidden="false" customHeight="false" outlineLevel="0" collapsed="false">
      <c r="A150" s="14" t="s">
        <v>501</v>
      </c>
      <c r="B150" s="15" t="s">
        <v>502</v>
      </c>
      <c r="C150" s="14" t="s">
        <v>439</v>
      </c>
      <c r="D150" s="14" t="s">
        <v>117</v>
      </c>
      <c r="E150" s="14" t="n">
        <v>11</v>
      </c>
      <c r="F150" s="16" t="n">
        <v>24</v>
      </c>
      <c r="G150" s="17" t="n">
        <v>126.4</v>
      </c>
      <c r="H150" s="18" t="n">
        <f aca="false">IF(ISNUMBER(G150),IFERROR(G150/F150,""),"")</f>
        <v>5.26666666666667</v>
      </c>
      <c r="I150" s="17" t="n">
        <v>12.9</v>
      </c>
      <c r="J150" s="17" t="n">
        <v>14.9</v>
      </c>
      <c r="K150" s="19" t="s">
        <v>64</v>
      </c>
      <c r="L150" s="20" t="n">
        <v>12.9</v>
      </c>
      <c r="M150" s="18" t="n">
        <f aca="false">IFERROR(L150*(1-Premissas!$B$5)*(1-Premissas!$B$6)-H150-Premissas!$B$7,"")</f>
        <v>5.86578333333333</v>
      </c>
      <c r="N150" s="21" t="n">
        <f aca="false">IFERROR(M150/L150,"")</f>
        <v>0.454711886304909</v>
      </c>
      <c r="O150" s="18" t="n">
        <f aca="false">IFERROR(L150*(1-Premissas!$B$8)-Premissas!$B$9-H150-Premissas!$B$7,"")</f>
        <v>-1.16466666666667</v>
      </c>
      <c r="P150" s="18" t="n">
        <f aca="false">IFERROR(L150*(1-Premissas!$B$10)-Premissas!$B$11-H150-Premissas!$B$7,"")</f>
        <v>0.0533333333333337</v>
      </c>
      <c r="Q150" s="18" t="n">
        <f aca="false">IFERROR(M150*F150,"")</f>
        <v>140.7788</v>
      </c>
      <c r="R150" s="22" t="n">
        <f aca="false">IFERROR(IF(M150&gt;0,ROUNDUP(Premissas!$B$12/M150,0),"sem lucro"),"")</f>
        <v>171</v>
      </c>
      <c r="S150" s="15" t="s">
        <v>82</v>
      </c>
      <c r="T150" s="23" t="s">
        <v>76</v>
      </c>
      <c r="U150" s="15"/>
      <c r="V150" s="18" t="n">
        <f aca="false">IF(AND(T150="S",ISNUMBER(L150),ISNUMBER(F150)),L150*F150*X150,0)</f>
        <v>0</v>
      </c>
      <c r="W150" s="18" t="n">
        <f aca="false">IF(AND(T150="S",ISNUMBER(Q150)),Q150*X150,0)</f>
        <v>0</v>
      </c>
      <c r="X150" s="23" t="n">
        <v>1</v>
      </c>
      <c r="Y150" s="18" t="n">
        <f aca="false">IF(AND(T150="S",ISNUMBER(G150)),G150*X150,0)</f>
        <v>0</v>
      </c>
    </row>
    <row r="151" customFormat="false" ht="39.55" hidden="false" customHeight="false" outlineLevel="0" collapsed="false">
      <c r="A151" s="14" t="s">
        <v>503</v>
      </c>
      <c r="B151" s="15" t="s">
        <v>504</v>
      </c>
      <c r="C151" s="14" t="s">
        <v>439</v>
      </c>
      <c r="D151" s="14" t="s">
        <v>63</v>
      </c>
      <c r="E151" s="14" t="n">
        <v>11</v>
      </c>
      <c r="F151" s="16" t="n">
        <v>24</v>
      </c>
      <c r="G151" s="17" t="n">
        <v>129.6</v>
      </c>
      <c r="H151" s="18" t="n">
        <f aca="false">IF(ISNUMBER(G151),IFERROR(G151/F151,""),"")</f>
        <v>5.4</v>
      </c>
      <c r="I151" s="17" t="n">
        <v>16.9</v>
      </c>
      <c r="J151" s="17" t="n">
        <v>20</v>
      </c>
      <c r="K151" s="19" t="s">
        <v>64</v>
      </c>
      <c r="L151" s="20" t="n">
        <v>16.9</v>
      </c>
      <c r="M151" s="18" t="n">
        <f aca="false">IFERROR(L151*(1-Premissas!$B$5)*(1-Premissas!$B$6)-H151-Premissas!$B$7,"")</f>
        <v>9.49445</v>
      </c>
      <c r="N151" s="21" t="n">
        <f aca="false">IFERROR(M151/L151,"")</f>
        <v>0.561801775147929</v>
      </c>
      <c r="O151" s="18" t="n">
        <f aca="false">IFERROR(L151*(1-Premissas!$B$8)-Premissas!$B$9-H151-Premissas!$B$7,"")</f>
        <v>2.222</v>
      </c>
      <c r="P151" s="18" t="n">
        <f aca="false">IFERROR(L151*(1-Premissas!$B$10)-Premissas!$B$11-H151-Premissas!$B$7,"")</f>
        <v>3.12</v>
      </c>
      <c r="Q151" s="18" t="n">
        <f aca="false">IFERROR(M151*F151,"")</f>
        <v>227.8668</v>
      </c>
      <c r="R151" s="22" t="n">
        <f aca="false">IFERROR(IF(M151&gt;0,ROUNDUP(Premissas!$B$12/M151,0),"sem lucro"),"")</f>
        <v>106</v>
      </c>
      <c r="S151" s="15" t="s">
        <v>505</v>
      </c>
      <c r="T151" s="23" t="s">
        <v>76</v>
      </c>
      <c r="U151" s="15" t="s">
        <v>506</v>
      </c>
      <c r="V151" s="18" t="n">
        <f aca="false">IF(AND(T151="S",ISNUMBER(L151),ISNUMBER(F151)),L151*F151*X151,0)</f>
        <v>0</v>
      </c>
      <c r="W151" s="18" t="n">
        <f aca="false">IF(AND(T151="S",ISNUMBER(Q151)),Q151*X151,0)</f>
        <v>0</v>
      </c>
      <c r="X151" s="23" t="n">
        <v>1</v>
      </c>
      <c r="Y151" s="18" t="n">
        <f aca="false">IF(AND(T151="S",ISNUMBER(G151)),G151*X151,0)</f>
        <v>0</v>
      </c>
    </row>
    <row r="152" customFormat="false" ht="15" hidden="false" customHeight="false" outlineLevel="0" collapsed="false">
      <c r="A152" s="14" t="s">
        <v>507</v>
      </c>
      <c r="B152" s="15" t="s">
        <v>508</v>
      </c>
      <c r="C152" s="14" t="s">
        <v>509</v>
      </c>
      <c r="D152" s="14" t="s">
        <v>117</v>
      </c>
      <c r="E152" s="14" t="n">
        <v>11</v>
      </c>
      <c r="F152" s="16" t="n">
        <v>24</v>
      </c>
      <c r="G152" s="17" t="n">
        <v>165.3</v>
      </c>
      <c r="H152" s="18" t="n">
        <f aca="false">IF(ISNUMBER(G152),IFERROR(G152/F152,""),"")</f>
        <v>6.8875</v>
      </c>
      <c r="I152" s="17" t="n">
        <v>12.9</v>
      </c>
      <c r="J152" s="17" t="n">
        <v>12.9</v>
      </c>
      <c r="K152" s="19" t="s">
        <v>64</v>
      </c>
      <c r="L152" s="20" t="n">
        <v>12.9</v>
      </c>
      <c r="M152" s="18" t="n">
        <f aca="false">IFERROR(L152*(1-Premissas!$B$5)*(1-Premissas!$B$6)-H152-Premissas!$B$7,"")</f>
        <v>4.24495</v>
      </c>
      <c r="N152" s="21" t="n">
        <f aca="false">IFERROR(M152/L152,"")</f>
        <v>0.329065891472868</v>
      </c>
      <c r="O152" s="18" t="n">
        <f aca="false">IFERROR(L152*(1-Premissas!$B$8)-Premissas!$B$9-H152-Premissas!$B$7,"")</f>
        <v>-2.7855</v>
      </c>
      <c r="P152" s="18" t="n">
        <f aca="false">IFERROR(L152*(1-Premissas!$B$10)-Premissas!$B$11-H152-Premissas!$B$7,"")</f>
        <v>-1.5675</v>
      </c>
      <c r="Q152" s="18" t="n">
        <f aca="false">IFERROR(M152*F152,"")</f>
        <v>101.8788</v>
      </c>
      <c r="R152" s="22" t="n">
        <f aca="false">IFERROR(IF(M152&gt;0,ROUNDUP(Premissas!$B$12/M152,0),"sem lucro"),"")</f>
        <v>236</v>
      </c>
      <c r="S152" s="15" t="s">
        <v>252</v>
      </c>
      <c r="T152" s="23" t="s">
        <v>76</v>
      </c>
      <c r="U152" s="15"/>
      <c r="V152" s="18" t="n">
        <f aca="false">IF(AND(T152="S",ISNUMBER(L152),ISNUMBER(F152)),L152*F152*X152,0)</f>
        <v>0</v>
      </c>
      <c r="W152" s="18" t="n">
        <f aca="false">IF(AND(T152="S",ISNUMBER(Q152)),Q152*X152,0)</f>
        <v>0</v>
      </c>
      <c r="X152" s="23" t="n">
        <v>1</v>
      </c>
      <c r="Y152" s="18" t="n">
        <f aca="false">IF(AND(T152="S",ISNUMBER(G152)),G152*X152,0)</f>
        <v>0</v>
      </c>
    </row>
  </sheetData>
  <autoFilter ref="A1:Y152"/>
  <conditionalFormatting sqref="M2:M152">
    <cfRule type="cellIs" priority="2" operator="lessThan" aboveAverage="0" equalAverage="0" bottom="0" percent="0" rank="0" text="" dxfId="77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152">
    <cfRule type="cellIs" priority="4" operator="lessThan" aboveAverage="0" equalAverage="0" bottom="0" percent="0" rank="0" text="" dxfId="77">
      <formula>0</formula>
    </cfRule>
  </conditionalFormatting>
  <conditionalFormatting sqref="P2:P152">
    <cfRule type="cellIs" priority="5" operator="lessThan" aboveAverage="0" equalAverage="0" bottom="0" percent="0" rank="0" text="" dxfId="77">
      <formula>0</formula>
    </cfRule>
  </conditionalFormatting>
  <dataValidations count="1">
    <dataValidation allowBlank="true" errorStyle="stop" operator="between" showDropDown="false" showErrorMessage="false" showInputMessage="false" sqref="T2:T152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510</v>
      </c>
      <c r="B1" s="13" t="s">
        <v>511</v>
      </c>
      <c r="C1" s="13" t="s">
        <v>512</v>
      </c>
      <c r="D1" s="13" t="s">
        <v>513</v>
      </c>
      <c r="E1" s="13" t="s">
        <v>514</v>
      </c>
      <c r="F1" s="13" t="s">
        <v>515</v>
      </c>
      <c r="G1" s="13" t="s">
        <v>516</v>
      </c>
      <c r="H1" s="13" t="s">
        <v>517</v>
      </c>
      <c r="I1" s="13" t="s">
        <v>518</v>
      </c>
      <c r="J1" s="13" t="s">
        <v>519</v>
      </c>
      <c r="K1" s="13" t="s">
        <v>520</v>
      </c>
      <c r="L1" s="13" t="s">
        <v>521</v>
      </c>
    </row>
    <row r="2" customFormat="false" ht="15" hidden="false" customHeight="false" outlineLevel="0" collapsed="false">
      <c r="A2" s="24" t="s">
        <v>522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$152,MATCH(B2,Produtos!$A$2:$A$152,0)),0)+IFERROR(INDEX(Produtos!$H$2:$H$152,MATCH(C2,Produtos!$A$2:$A$152,0)),0)+IFERROR(INDEX(Produtos!$H$2:$H$152,MATCH(D2,Produtos!$A$2:$A$152,0)),0)+IFERROR(INDEX(Produtos!$H$2:$H$152,MATCH(E2,Produtos!$A$2:$A$152,0)),0)+IFERROR(INDEX(Produtos!$H$2:$H$152,MATCH(F2,Produtos!$A$2:$A$152,0)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523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$152,MATCH(B3,Produtos!$A$2:$A$152,0)),0)+IFERROR(INDEX(Produtos!$H$2:$H$152,MATCH(C3,Produtos!$A$2:$A$152,0)),0)+IFERROR(INDEX(Produtos!$H$2:$H$152,MATCH(D3,Produtos!$A$2:$A$152,0)),0)+IFERROR(INDEX(Produtos!$H$2:$H$152,MATCH(E3,Produtos!$A$2:$A$152,0)),0)+IFERROR(INDEX(Produtos!$H$2:$H$152,MATCH(F3,Produtos!$A$2:$A$152,0)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524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$152,MATCH(B4,Produtos!$A$2:$A$152,0)),0)+IFERROR(INDEX(Produtos!$H$2:$H$152,MATCH(C4,Produtos!$A$2:$A$152,0)),0)+IFERROR(INDEX(Produtos!$H$2:$H$152,MATCH(D4,Produtos!$A$2:$A$152,0)),0)+IFERROR(INDEX(Produtos!$H$2:$H$152,MATCH(E4,Produtos!$A$2:$A$152,0)),0)+IFERROR(INDEX(Produtos!$H$2:$H$152,MATCH(F4,Produtos!$A$2:$A$152,0)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525</v>
      </c>
      <c r="B5" s="25" t="s">
        <v>127</v>
      </c>
      <c r="C5" s="25" t="s">
        <v>127</v>
      </c>
      <c r="D5" s="25" t="s">
        <v>127</v>
      </c>
      <c r="E5" s="25" t="s">
        <v>372</v>
      </c>
      <c r="F5" s="25" t="s">
        <v>154</v>
      </c>
      <c r="G5" s="27" t="n">
        <f aca="false">IFERROR(INDEX(Produtos!$H$2:$H$152,MATCH(B5,Produtos!$A$2:$A$152,0)),0)+IFERROR(INDEX(Produtos!$H$2:$H$152,MATCH(C5,Produtos!$A$2:$A$152,0)),0)+IFERROR(INDEX(Produtos!$H$2:$H$152,MATCH(D5,Produtos!$A$2:$A$152,0)),0)+IFERROR(INDEX(Produtos!$H$2:$H$152,MATCH(E5,Produtos!$A$2:$A$152,0)),0)+IFERROR(INDEX(Produtos!$H$2:$H$152,MATCH(F5,Produtos!$A$2:$A$152,0)),0)</f>
        <v>21.1108333333333</v>
      </c>
      <c r="H5" s="28" t="n">
        <v>44.9</v>
      </c>
      <c r="I5" s="27" t="n">
        <f aca="false">H5*(1-Premissas!$B$5)*(1-Premissas!$B$6)-G5-Premissas!$B$7</f>
        <v>20.1176166666667</v>
      </c>
      <c r="J5" s="27" t="n">
        <f aca="false">H5*(1-Premissas!$B$8)-Premissas!$B$9-G5-Premissas!$B$7</f>
        <v>11.1511666666667</v>
      </c>
      <c r="K5" s="27" t="n">
        <f aca="false">H5*(1-Premissas!$B$10)-Premissas!$B$11-G5-Premissas!$B$7</f>
        <v>9.80916666666667</v>
      </c>
      <c r="L5" s="29" t="n">
        <f aca="false">IF(I5&gt;0,ROUNDUP(Premissas!$B$12/I5,0),"sem lucro")</f>
        <v>50</v>
      </c>
    </row>
    <row r="6" customFormat="false" ht="15" hidden="false" customHeight="false" outlineLevel="0" collapsed="false">
      <c r="A6" s="24" t="s">
        <v>526</v>
      </c>
      <c r="B6" s="25" t="s">
        <v>176</v>
      </c>
      <c r="C6" s="25" t="s">
        <v>180</v>
      </c>
      <c r="D6" s="25" t="s">
        <v>154</v>
      </c>
      <c r="E6" s="26"/>
      <c r="F6" s="26"/>
      <c r="G6" s="27" t="n">
        <f aca="false">IFERROR(INDEX(Produtos!$H$2:$H$152,MATCH(B6,Produtos!$A$2:$A$152,0)),0)+IFERROR(INDEX(Produtos!$H$2:$H$152,MATCH(C6,Produtos!$A$2:$A$152,0)),0)+IFERROR(INDEX(Produtos!$H$2:$H$152,MATCH(D6,Produtos!$A$2:$A$152,0)),0)+IFERROR(INDEX(Produtos!$H$2:$H$152,MATCH(E6,Produtos!$A$2:$A$152,0)),0)+IFERROR(INDEX(Produtos!$H$2:$H$152,MATCH(F6,Produtos!$A$2:$A$152,0)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527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$152,MATCH(B7,Produtos!$A$2:$A$152,0)),0)+IFERROR(INDEX(Produtos!$H$2:$H$152,MATCH(C7,Produtos!$A$2:$A$152,0)),0)+IFERROR(INDEX(Produtos!$H$2:$H$152,MATCH(D7,Produtos!$A$2:$A$152,0)),0)+IFERROR(INDEX(Produtos!$H$2:$H$152,MATCH(E7,Produtos!$A$2:$A$152,0)),0)+IFERROR(INDEX(Produtos!$H$2:$H$152,MATCH(F7,Produtos!$A$2:$A$152,0)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528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$152,MATCH(B8,Produtos!$A$2:$A$152,0)),0)+IFERROR(INDEX(Produtos!$H$2:$H$152,MATCH(C8,Produtos!$A$2:$A$152,0)),0)+IFERROR(INDEX(Produtos!$H$2:$H$152,MATCH(D8,Produtos!$A$2:$A$152,0)),0)+IFERROR(INDEX(Produtos!$H$2:$H$152,MATCH(E8,Produtos!$A$2:$A$152,0)),0)+IFERROR(INDEX(Produtos!$H$2:$H$152,MATCH(F8,Produtos!$A$2:$A$152,0)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529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$152,MATCH(B9,Produtos!$A$2:$A$152,0)),0)+IFERROR(INDEX(Produtos!$H$2:$H$152,MATCH(C9,Produtos!$A$2:$A$152,0)),0)+IFERROR(INDEX(Produtos!$H$2:$H$152,MATCH(D9,Produtos!$A$2:$A$152,0)),0)+IFERROR(INDEX(Produtos!$H$2:$H$152,MATCH(E9,Produtos!$A$2:$A$152,0)),0)+IFERROR(INDEX(Produtos!$H$2:$H$152,MATCH(F9,Produtos!$A$2:$A$152,0)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530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$152,MATCH(B10,Produtos!$A$2:$A$152,0)),0)+IFERROR(INDEX(Produtos!$H$2:$H$152,MATCH(C10,Produtos!$A$2:$A$152,0)),0)+IFERROR(INDEX(Produtos!$H$2:$H$152,MATCH(D10,Produtos!$A$2:$A$152,0)),0)+IFERROR(INDEX(Produtos!$H$2:$H$152,MATCH(E10,Produtos!$A$2:$A$152,0)),0)+IFERROR(INDEX(Produtos!$H$2:$H$152,MATCH(F10,Produtos!$A$2:$A$152,0)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1" customFormat="false" ht="15" hidden="false" customHeight="false" outlineLevel="0" collapsed="false">
      <c r="A11" s="24" t="s">
        <v>531</v>
      </c>
      <c r="B11" s="25" t="s">
        <v>329</v>
      </c>
      <c r="C11" s="25" t="s">
        <v>268</v>
      </c>
      <c r="D11" s="25" t="s">
        <v>337</v>
      </c>
      <c r="E11" s="25" t="s">
        <v>241</v>
      </c>
      <c r="F11" s="26"/>
      <c r="G11" s="27" t="n">
        <f aca="false">IFERROR(INDEX(Produtos!$H$2:$H$152,MATCH(B11,Produtos!$A$2:$A$152,0)),0)+IFERROR(INDEX(Produtos!$H$2:$H$152,MATCH(C11,Produtos!$A$2:$A$152,0)),0)+IFERROR(INDEX(Produtos!$H$2:$H$152,MATCH(D11,Produtos!$A$2:$A$152,0)),0)+IFERROR(INDEX(Produtos!$H$2:$H$152,MATCH(E11,Produtos!$A$2:$A$152,0)),0)+IFERROR(INDEX(Produtos!$H$2:$H$152,MATCH(F11,Produtos!$A$2:$A$152,0)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21.1980416666667</v>
      </c>
      <c r="K11" s="27" t="n">
        <f aca="false">H11*(1-Premissas!$B$10)-Premissas!$B$11-G11-Premissas!$B$7</f>
        <v>19.4560416666667</v>
      </c>
      <c r="L11" s="29" t="n">
        <f aca="false">IF(I11&gt;0,ROUNDUP(Premissas!$B$12/I11,0),"sem lucro")</f>
        <v>33</v>
      </c>
    </row>
    <row r="12" customFormat="false" ht="15" hidden="false" customHeight="false" outlineLevel="0" collapsed="false">
      <c r="A12" s="24" t="s">
        <v>532</v>
      </c>
      <c r="B12" s="25" t="s">
        <v>496</v>
      </c>
      <c r="C12" s="25" t="s">
        <v>489</v>
      </c>
      <c r="D12" s="25" t="s">
        <v>493</v>
      </c>
      <c r="E12" s="26"/>
      <c r="F12" s="26"/>
      <c r="G12" s="27" t="n">
        <f aca="false">IFERROR(INDEX(Produtos!$H$2:$H$152,MATCH(B12,Produtos!$A$2:$A$152,0)),0)+IFERROR(INDEX(Produtos!$H$2:$H$152,MATCH(C12,Produtos!$A$2:$A$152,0)),0)+IFERROR(INDEX(Produtos!$H$2:$H$152,MATCH(D12,Produtos!$A$2:$A$152,0)),0)+IFERROR(INDEX(Produtos!$H$2:$H$152,MATCH(E12,Produtos!$A$2:$A$152,0)),0)+IFERROR(INDEX(Produtos!$H$2:$H$152,MATCH(F12,Produtos!$A$2:$A$152,0)),0)</f>
        <v>18.225</v>
      </c>
      <c r="H12" s="28" t="n">
        <v>54.9</v>
      </c>
      <c r="I12" s="27" t="n">
        <f aca="false">H12*(1-Premissas!$B$5)*(1-Premissas!$B$6)-G12-Premissas!$B$7</f>
        <v>32.40845</v>
      </c>
      <c r="J12" s="27" t="n">
        <f aca="false">H12*(1-Premissas!$B$8)-Premissas!$B$9-G12-Premissas!$B$7</f>
        <v>22.837</v>
      </c>
      <c r="K12" s="27" t="n">
        <f aca="false">H12*(1-Premissas!$B$10)-Premissas!$B$11-G12-Premissas!$B$7</f>
        <v>20.695</v>
      </c>
      <c r="L12" s="29" t="n">
        <f aca="false">IF(I12&gt;0,ROUNDUP(Premissas!$B$12/I12,0),"sem lucro")</f>
        <v>31</v>
      </c>
    </row>
    <row r="14" customFormat="false" ht="15" hidden="false" customHeight="false" outlineLevel="0" collapsed="false">
      <c r="A14" s="2" t="s">
        <v>533</v>
      </c>
    </row>
  </sheetData>
  <conditionalFormatting sqref="I2:K12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2026-09-24T18:23:08Z</dcterms:created>
  <dc:creator>openpyxl</dc:creator>
  <dc:description/>
  <dc:language>en-US</dc:language>
  <cp:lastModifiedBy/>
  <dcterms:modified xsi:type="dcterms:W3CDTF">2026-09-24T18:23:09Z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