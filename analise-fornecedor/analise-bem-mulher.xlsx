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<sst xmlns="http://schemas.openxmlformats.org/spreadsheetml/2006/main" count="1114" uniqueCount="483">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</sst>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A0D8AE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1E5CB"/>
          <bgColor rgb="FF000000"/>
        </patternFill>
      </fill>
    </dxf>
    <dxf>
      <fill>
        <patternFill patternType="solid">
          <fgColor rgb="FFC2E6CC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COUNTA(Produtos!A2:A133)</f>
        <v>132</v>
      </c>
    </row>
    <row r="6" customFormat="false" ht="15" hidden="false" customHeight="false" outlineLevel="0" collapsed="false">
      <c r="A6" s="4" t="s">
        <v>5</v>
      </c>
      <c r="B6" s="5" t="n">
        <f aca="false">COUNTIF(Produtos!T2:T133,"S")</f>
        <v>36</v>
      </c>
    </row>
    <row r="7" customFormat="false" ht="15" hidden="false" customHeight="false" outlineLevel="0" collapsed="false">
      <c r="A7" s="6" t="s">
        <v>6</v>
      </c>
      <c r="B7" s="7" t="n">
        <f aca="false">SUM(Produtos!Y2:Y133)</f>
        <v>3869.06</v>
      </c>
    </row>
    <row r="8" customFormat="false" ht="15" hidden="false" customHeight="false" outlineLevel="0" collapsed="false">
      <c r="A8" s="4" t="s">
        <v>7</v>
      </c>
      <c r="B8" s="5" t="n">
        <f aca="false">SUMPRODUCT((Produtos!T2:T133="S")*Produtos!F2:F133*Produtos!X2:X133)</f>
        <v>721</v>
      </c>
    </row>
    <row r="9" customFormat="false" ht="15" hidden="false" customHeight="false" outlineLevel="0" collapsed="false">
      <c r="A9" s="4" t="s">
        <v>8</v>
      </c>
      <c r="B9" s="7" t="n">
        <f aca="false">SUM(Produtos!V2:V133)</f>
        <v>10767.9</v>
      </c>
    </row>
    <row r="10" customFormat="false" ht="15" hidden="false" customHeight="false" outlineLevel="0" collapsed="false">
      <c r="A10" s="6" t="s">
        <v>9</v>
      </c>
      <c r="B10" s="7" t="n">
        <f aca="false">SUM(Produtos!W2:W133)</f>
        <v>5537.14995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1.43113571513494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1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/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317</v>
      </c>
      <c r="B86" s="15" t="s">
        <v>318</v>
      </c>
      <c r="C86" s="14" t="s">
        <v>319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320</v>
      </c>
      <c r="T86" s="23" t="s">
        <v>76</v>
      </c>
      <c r="U86" s="15" t="s">
        <v>321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322</v>
      </c>
      <c r="B87" s="15" t="s">
        <v>323</v>
      </c>
      <c r="C87" s="14" t="s">
        <v>319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324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325</v>
      </c>
      <c r="B88" s="15" t="s">
        <v>326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327</v>
      </c>
      <c r="B89" s="15" t="s">
        <v>328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329</v>
      </c>
      <c r="B90" s="15" t="s">
        <v>330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331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332</v>
      </c>
      <c r="B91" s="15" t="s">
        <v>333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334</v>
      </c>
      <c r="B92" s="15" t="s">
        <v>335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336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337</v>
      </c>
      <c r="B93" s="15" t="s">
        <v>338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339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340</v>
      </c>
      <c r="B94" s="15" t="s">
        <v>341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342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343</v>
      </c>
      <c r="B95" s="15" t="s">
        <v>344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345</v>
      </c>
      <c r="B96" s="15" t="s">
        <v>346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347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348</v>
      </c>
      <c r="B97" s="15" t="s">
        <v>349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347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350</v>
      </c>
      <c r="B98" s="15" t="s">
        <v>351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352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353</v>
      </c>
      <c r="B99" s="15" t="s">
        <v>354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355</v>
      </c>
      <c r="B100" s="15" t="s">
        <v>356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357</v>
      </c>
      <c r="B101" s="15" t="s">
        <v>358</v>
      </c>
      <c r="C101" s="14" t="s">
        <v>359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360</v>
      </c>
      <c r="T101" s="23" t="s">
        <v>76</v>
      </c>
      <c r="U101" s="15" t="s">
        <v>361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362</v>
      </c>
      <c r="B102" s="15" t="s">
        <v>363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364</v>
      </c>
      <c r="B103" s="15" t="s">
        <v>365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366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367</v>
      </c>
      <c r="B104" s="15" t="s">
        <v>368</v>
      </c>
      <c r="C104" s="14" t="s">
        <v>319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369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370</v>
      </c>
      <c r="B105" s="15" t="s">
        <v>371</v>
      </c>
      <c r="C105" s="14" t="s">
        <v>319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372</v>
      </c>
      <c r="B106" s="15" t="s">
        <v>373</v>
      </c>
      <c r="C106" s="14" t="s">
        <v>319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374</v>
      </c>
      <c r="T106" s="23" t="s">
        <v>66</v>
      </c>
      <c r="U106" s="15" t="s">
        <v>375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376</v>
      </c>
      <c r="B107" s="15" t="s">
        <v>377</v>
      </c>
      <c r="C107" s="14" t="s">
        <v>319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378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379</v>
      </c>
      <c r="B108" s="15" t="s">
        <v>380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381</v>
      </c>
      <c r="B109" s="15" t="s">
        <v>382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383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384</v>
      </c>
      <c r="B110" s="15" t="s">
        <v>385</v>
      </c>
      <c r="C110" s="14" t="s">
        <v>386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387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388</v>
      </c>
      <c r="B111" s="15" t="s">
        <v>389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390</v>
      </c>
      <c r="T111" s="23" t="s">
        <v>76</v>
      </c>
      <c r="U111" s="15" t="s">
        <v>391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392</v>
      </c>
      <c r="B112" s="15" t="s">
        <v>393</v>
      </c>
      <c r="C112" s="14" t="s">
        <v>394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395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396</v>
      </c>
      <c r="B113" s="15" t="s">
        <v>397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398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399</v>
      </c>
      <c r="B114" s="15" t="s">
        <v>400</v>
      </c>
      <c r="C114" s="14" t="s">
        <v>401</v>
      </c>
      <c r="D114" s="14" t="s">
        <v>117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-4.838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402</v>
      </c>
      <c r="T114" s="23" t="s">
        <v>76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403</v>
      </c>
      <c r="B115" s="15" t="s">
        <v>404</v>
      </c>
      <c r="C115" s="14" t="s">
        <v>401</v>
      </c>
      <c r="D115" s="14" t="s">
        <v>117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-1.41466666666667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252</v>
      </c>
      <c r="T115" s="23" t="s">
        <v>76</v>
      </c>
      <c r="U115" s="15" t="s">
        <v>256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405</v>
      </c>
      <c r="B116" s="15" t="s">
        <v>406</v>
      </c>
      <c r="C116" s="14" t="s">
        <v>407</v>
      </c>
      <c r="D116" s="14" t="s">
        <v>63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-1.9605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307</v>
      </c>
      <c r="T116" s="23" t="s">
        <v>76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408</v>
      </c>
      <c r="B117" s="15" t="s">
        <v>409</v>
      </c>
      <c r="C117" s="14" t="s">
        <v>410</v>
      </c>
      <c r="D117" s="14" t="s">
        <v>117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-2.03133333333333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252</v>
      </c>
      <c r="T117" s="23" t="s">
        <v>76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411</v>
      </c>
      <c r="B118" s="15" t="s">
        <v>412</v>
      </c>
      <c r="C118" s="14" t="s">
        <v>133</v>
      </c>
      <c r="D118" s="14" t="s">
        <v>117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-2.768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82</v>
      </c>
      <c r="T118" s="23" t="s">
        <v>76</v>
      </c>
      <c r="U118" s="15" t="s">
        <v>413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414</v>
      </c>
      <c r="B119" s="15" t="s">
        <v>415</v>
      </c>
      <c r="C119" s="14" t="s">
        <v>416</v>
      </c>
      <c r="D119" s="14" t="s">
        <v>125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-1.62716666666667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266</v>
      </c>
      <c r="T119" s="23" t="s">
        <v>76</v>
      </c>
      <c r="U119" s="15" t="s">
        <v>417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418</v>
      </c>
      <c r="B120" s="15" t="s">
        <v>419</v>
      </c>
      <c r="C120" s="14" t="s">
        <v>133</v>
      </c>
      <c r="D120" s="14" t="s">
        <v>125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-3.99966666666667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111</v>
      </c>
      <c r="T120" s="23" t="s">
        <v>76</v>
      </c>
      <c r="U120" s="15" t="s">
        <v>420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421</v>
      </c>
      <c r="B121" s="15" t="s">
        <v>422</v>
      </c>
      <c r="C121" s="14" t="s">
        <v>133</v>
      </c>
      <c r="D121" s="14" t="s">
        <v>157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-4.47383333333333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111</v>
      </c>
      <c r="T121" s="23" t="s">
        <v>76</v>
      </c>
      <c r="U121" s="15" t="s">
        <v>423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424</v>
      </c>
      <c r="B122" s="15" t="s">
        <v>425</v>
      </c>
      <c r="C122" s="14" t="s">
        <v>255</v>
      </c>
      <c r="D122" s="14" t="s">
        <v>117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-1.59216666666667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252</v>
      </c>
      <c r="T122" s="23" t="s">
        <v>76</v>
      </c>
      <c r="U122" s="15" t="s">
        <v>256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426</v>
      </c>
      <c r="B123" s="15" t="s">
        <v>427</v>
      </c>
      <c r="C123" s="14" t="s">
        <v>428</v>
      </c>
      <c r="D123" s="14" t="s">
        <v>63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2.48741666666667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429</v>
      </c>
      <c r="T123" s="23" t="s">
        <v>76</v>
      </c>
      <c r="U123" s="15" t="s">
        <v>430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431</v>
      </c>
      <c r="B124" s="15" t="s">
        <v>432</v>
      </c>
      <c r="C124" s="14" t="s">
        <v>428</v>
      </c>
      <c r="D124" s="14" t="s">
        <v>125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-1.35216666666667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82</v>
      </c>
      <c r="T124" s="23" t="s">
        <v>76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433</v>
      </c>
      <c r="B125" s="15" t="s">
        <v>434</v>
      </c>
      <c r="C125" s="14" t="s">
        <v>435</v>
      </c>
      <c r="D125" s="14" t="s">
        <v>63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-0.819666666666667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260</v>
      </c>
      <c r="T125" s="23" t="s">
        <v>76</v>
      </c>
      <c r="U125" s="15" t="s">
        <v>436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437</v>
      </c>
      <c r="B126" s="15" t="s">
        <v>438</v>
      </c>
      <c r="C126" s="14" t="s">
        <v>439</v>
      </c>
      <c r="D126" s="14" t="s">
        <v>168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8.262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440</v>
      </c>
      <c r="T126" s="23" t="s">
        <v>76</v>
      </c>
      <c r="U126" s="15" t="s">
        <v>441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442</v>
      </c>
      <c r="B127" s="15" t="s">
        <v>443</v>
      </c>
      <c r="C127" s="14" t="s">
        <v>291</v>
      </c>
      <c r="D127" s="14" t="s">
        <v>125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-0.296750000000001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82</v>
      </c>
      <c r="T127" s="23" t="s">
        <v>76</v>
      </c>
      <c r="U127" s="15" t="s">
        <v>208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444</v>
      </c>
      <c r="B128" s="15" t="s">
        <v>445</v>
      </c>
      <c r="C128" s="14" t="s">
        <v>291</v>
      </c>
      <c r="D128" s="14" t="s">
        <v>63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-1.398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82</v>
      </c>
      <c r="T128" s="23" t="s">
        <v>76</v>
      </c>
      <c r="U128" s="15" t="s">
        <v>446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447</v>
      </c>
      <c r="B129" s="15" t="s">
        <v>448</v>
      </c>
      <c r="C129" s="14" t="s">
        <v>167</v>
      </c>
      <c r="D129" s="14" t="s">
        <v>168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0.196166666666668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360</v>
      </c>
      <c r="T129" s="23" t="s">
        <v>76</v>
      </c>
      <c r="U129" s="15" t="s">
        <v>449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450</v>
      </c>
      <c r="B130" s="15" t="s">
        <v>451</v>
      </c>
      <c r="C130" s="14" t="s">
        <v>167</v>
      </c>
      <c r="D130" s="14" t="s">
        <v>168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-0.621333333333333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360</v>
      </c>
      <c r="T130" s="23" t="s">
        <v>76</v>
      </c>
      <c r="U130" s="15" t="s">
        <v>449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452</v>
      </c>
      <c r="B131" s="15" t="s">
        <v>453</v>
      </c>
      <c r="C131" s="14" t="s">
        <v>454</v>
      </c>
      <c r="D131" s="14" t="s">
        <v>117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-1.30633333333333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252</v>
      </c>
      <c r="T131" s="23" t="s">
        <v>76</v>
      </c>
      <c r="U131" s="15" t="s">
        <v>256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455</v>
      </c>
      <c r="B132" s="15" t="s">
        <v>456</v>
      </c>
      <c r="C132" s="14" t="s">
        <v>207</v>
      </c>
      <c r="D132" s="14" t="s">
        <v>125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-1.5505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82</v>
      </c>
      <c r="T132" s="23" t="s">
        <v>76</v>
      </c>
      <c r="U132" s="15" t="s">
        <v>457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458</v>
      </c>
      <c r="B133" s="15" t="s">
        <v>459</v>
      </c>
      <c r="C133" s="14" t="s">
        <v>207</v>
      </c>
      <c r="D133" s="14" t="s">
        <v>117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-2.51466666666667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252</v>
      </c>
      <c r="T133" s="23" t="s">
        <v>76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</sheetData>
  <autoFilter ref="A1:Y133"/>
  <conditionalFormatting sqref="M2:M133">
    <cfRule type="cellIs" priority="2" operator="lessThan" aboveAverage="0" equalAverage="0" bottom="0" percent="0" rank="0" text="" dxfId="72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33">
    <cfRule type="cellIs" priority="4" operator="lessThan" aboveAverage="0" equalAverage="0" bottom="0" percent="0" rank="0" text="" dxfId="72">
      <formula>0</formula>
    </cfRule>
  </conditionalFormatting>
  <conditionalFormatting sqref="P2:P133">
    <cfRule type="cellIs" priority="5" operator="lessThan" aboveAverage="0" equalAverage="0" bottom="0" percent="0" rank="0" text="" dxfId="72">
      <formula>0</formula>
    </cfRule>
  </conditionalFormatting>
  <dataValidations count="1">
    <dataValidation allowBlank="true" errorStyle="stop" operator="between" showDropDown="false" showErrorMessage="false" showInputMessage="false" sqref="T2:T133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460</v>
      </c>
      <c r="B1" s="13" t="s">
        <v>461</v>
      </c>
      <c r="C1" s="13" t="s">
        <v>462</v>
      </c>
      <c r="D1" s="13" t="s">
        <v>463</v>
      </c>
      <c r="E1" s="13" t="s">
        <v>464</v>
      </c>
      <c r="F1" s="13" t="s">
        <v>465</v>
      </c>
      <c r="G1" s="13" t="s">
        <v>466</v>
      </c>
      <c r="H1" s="13" t="s">
        <v>467</v>
      </c>
      <c r="I1" s="13" t="s">
        <v>468</v>
      </c>
      <c r="J1" s="13" t="s">
        <v>469</v>
      </c>
      <c r="K1" s="13" t="s">
        <v>470</v>
      </c>
      <c r="L1" s="13" t="s">
        <v>471</v>
      </c>
    </row>
    <row r="2" customFormat="false" ht="15" hidden="false" customHeight="false" outlineLevel="0" collapsed="false">
      <c r="A2" s="24" t="s">
        <v>472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$133,MATCH(B2,Produtos!$A$2:$A$133,0)),0)+IFERROR(INDEX(Produtos!$H$2:$H$133,MATCH(C2,Produtos!$A$2:$A$133,0)),0)+IFERROR(INDEX(Produtos!$H$2:$H$133,MATCH(D2,Produtos!$A$2:$A$133,0)),0)+IFERROR(INDEX(Produtos!$H$2:$H$133,MATCH(E2,Produtos!$A$2:$A$133,0)),0)+IFERROR(INDEX(Produtos!$H$2:$H$133,MATCH(F2,Produtos!$A$2:$A$133,0)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473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$133,MATCH(B3,Produtos!$A$2:$A$133,0)),0)+IFERROR(INDEX(Produtos!$H$2:$H$133,MATCH(C3,Produtos!$A$2:$A$133,0)),0)+IFERROR(INDEX(Produtos!$H$2:$H$133,MATCH(D3,Produtos!$A$2:$A$133,0)),0)+IFERROR(INDEX(Produtos!$H$2:$H$133,MATCH(E3,Produtos!$A$2:$A$133,0)),0)+IFERROR(INDEX(Produtos!$H$2:$H$133,MATCH(F3,Produtos!$A$2:$A$133,0)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474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$133,MATCH(B4,Produtos!$A$2:$A$133,0)),0)+IFERROR(INDEX(Produtos!$H$2:$H$133,MATCH(C4,Produtos!$A$2:$A$133,0)),0)+IFERROR(INDEX(Produtos!$H$2:$H$133,MATCH(D4,Produtos!$A$2:$A$133,0)),0)+IFERROR(INDEX(Produtos!$H$2:$H$133,MATCH(E4,Produtos!$A$2:$A$133,0)),0)+IFERROR(INDEX(Produtos!$H$2:$H$133,MATCH(F4,Produtos!$A$2:$A$133,0)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475</v>
      </c>
      <c r="B5" s="25" t="s">
        <v>127</v>
      </c>
      <c r="C5" s="25" t="s">
        <v>127</v>
      </c>
      <c r="D5" s="25" t="s">
        <v>127</v>
      </c>
      <c r="E5" s="25" t="s">
        <v>372</v>
      </c>
      <c r="F5" s="25" t="s">
        <v>154</v>
      </c>
      <c r="G5" s="27" t="n">
        <f aca="false">IFERROR(INDEX(Produtos!$H$2:$H$133,MATCH(B5,Produtos!$A$2:$A$133,0)),0)+IFERROR(INDEX(Produtos!$H$2:$H$133,MATCH(C5,Produtos!$A$2:$A$133,0)),0)+IFERROR(INDEX(Produtos!$H$2:$H$133,MATCH(D5,Produtos!$A$2:$A$133,0)),0)+IFERROR(INDEX(Produtos!$H$2:$H$133,MATCH(E5,Produtos!$A$2:$A$133,0)),0)+IFERROR(INDEX(Produtos!$H$2:$H$133,MATCH(F5,Produtos!$A$2:$A$133,0)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476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$133,MATCH(B6,Produtos!$A$2:$A$133,0)),0)+IFERROR(INDEX(Produtos!$H$2:$H$133,MATCH(C6,Produtos!$A$2:$A$133,0)),0)+IFERROR(INDEX(Produtos!$H$2:$H$133,MATCH(D6,Produtos!$A$2:$A$133,0)),0)+IFERROR(INDEX(Produtos!$H$2:$H$133,MATCH(E6,Produtos!$A$2:$A$133,0)),0)+IFERROR(INDEX(Produtos!$H$2:$H$133,MATCH(F6,Produtos!$A$2:$A$133,0)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477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$133,MATCH(B7,Produtos!$A$2:$A$133,0)),0)+IFERROR(INDEX(Produtos!$H$2:$H$133,MATCH(C7,Produtos!$A$2:$A$133,0)),0)+IFERROR(INDEX(Produtos!$H$2:$H$133,MATCH(D7,Produtos!$A$2:$A$133,0)),0)+IFERROR(INDEX(Produtos!$H$2:$H$133,MATCH(E7,Produtos!$A$2:$A$133,0)),0)+IFERROR(INDEX(Produtos!$H$2:$H$133,MATCH(F7,Produtos!$A$2:$A$133,0)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478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$133,MATCH(B8,Produtos!$A$2:$A$133,0)),0)+IFERROR(INDEX(Produtos!$H$2:$H$133,MATCH(C8,Produtos!$A$2:$A$133,0)),0)+IFERROR(INDEX(Produtos!$H$2:$H$133,MATCH(D8,Produtos!$A$2:$A$133,0)),0)+IFERROR(INDEX(Produtos!$H$2:$H$133,MATCH(E8,Produtos!$A$2:$A$133,0)),0)+IFERROR(INDEX(Produtos!$H$2:$H$133,MATCH(F8,Produtos!$A$2:$A$133,0)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479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$133,MATCH(B9,Produtos!$A$2:$A$133,0)),0)+IFERROR(INDEX(Produtos!$H$2:$H$133,MATCH(C9,Produtos!$A$2:$A$133,0)),0)+IFERROR(INDEX(Produtos!$H$2:$H$133,MATCH(D9,Produtos!$A$2:$A$133,0)),0)+IFERROR(INDEX(Produtos!$H$2:$H$133,MATCH(E9,Produtos!$A$2:$A$133,0)),0)+IFERROR(INDEX(Produtos!$H$2:$H$133,MATCH(F9,Produtos!$A$2:$A$133,0)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480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$133,MATCH(B10,Produtos!$A$2:$A$133,0)),0)+IFERROR(INDEX(Produtos!$H$2:$H$133,MATCH(C10,Produtos!$A$2:$A$133,0)),0)+IFERROR(INDEX(Produtos!$H$2:$H$133,MATCH(D10,Produtos!$A$2:$A$133,0)),0)+IFERROR(INDEX(Produtos!$H$2:$H$133,MATCH(E10,Produtos!$A$2:$A$133,0)),0)+IFERROR(INDEX(Produtos!$H$2:$H$133,MATCH(F10,Produtos!$A$2:$A$133,0)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481</v>
      </c>
      <c r="B11" s="25" t="s">
        <v>329</v>
      </c>
      <c r="C11" s="25" t="s">
        <v>268</v>
      </c>
      <c r="D11" s="25" t="s">
        <v>337</v>
      </c>
      <c r="E11" s="25" t="s">
        <v>241</v>
      </c>
      <c r="F11" s="26"/>
      <c r="G11" s="27" t="n">
        <f aca="false">IFERROR(INDEX(Produtos!$H$2:$H$133,MATCH(B11,Produtos!$A$2:$A$133,0)),0)+IFERROR(INDEX(Produtos!$H$2:$H$133,MATCH(C11,Produtos!$A$2:$A$133,0)),0)+IFERROR(INDEX(Produtos!$H$2:$H$133,MATCH(D11,Produtos!$A$2:$A$133,0)),0)+IFERROR(INDEX(Produtos!$H$2:$H$133,MATCH(E11,Produtos!$A$2:$A$133,0)),0)+IFERROR(INDEX(Produtos!$H$2:$H$133,MATCH(F11,Produtos!$A$2:$A$133,0)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3" customFormat="false" ht="15" hidden="false" customHeight="false" outlineLevel="0" collapsed="false">
      <c r="A13" s="2" t="s">
        <v>482</v>
      </c>
    </row>
  </sheetData>
  <conditionalFormatting sqref="I2:K11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2026-09-24T18:21:53Z</dcterms:created>
  <dc:creator>openpyxl</dc:creator>
  <dc:description/>
  <dc:language>en-US</dc:language>
  <cp:lastModifiedBy/>
  <dcterms:modified xsi:type="dcterms:W3CDTF">2026-09-24T18:21:53Z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