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emissas" sheetId="2" state="visible" r:id="rId4"/>
    <sheet name="Produtos" sheetId="3" state="visible" r:id="rId5"/>
    <sheet name="Kits" sheetId="4" state="visible" r:id="rId6"/>
  </sheets>
  <definedNames>
    <definedName function="false" hidden="true" localSheetId="2" name="_xlnm._FilterDatabase" vbProcedure="false">Produtos!$A$1:$Y$110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Preço mostrado no site do fornecedor (Bem Mulher, página Loja de R$10), lido dos prints enviados. Quando a qtd na caixa é maior que 1, é o preço da caixa inteira.</t>
        </r>
      </text>
    </comment>
    <comment ref="I1" authorId="0">
      <text>
        <r>
          <rPr>
            <sz val="10"/>
            <rFont val="Arial"/>
            <family val="2"/>
          </rPr>
          <t xml:space="preserve">Preços encontrados em lojas online por busca na internet (set/2026). "Estimado" = produto exato não encontrado; valor baseado em produtos parecidos.</t>
        </r>
      </text>
    </comment>
    <comment ref="M1" authorId="0">
      <text>
        <r>
          <rPr>
            <sz val="10"/>
            <rFont val="Arial"/>
            <family val="2"/>
          </rPr>
          <t xml:space="preserve">= Preço de venda − desconto Pix − taxa de pagamento − custo − embalagem (ver aba Premissas).</t>
        </r>
      </text>
    </comment>
    <comment ref="X1" authorId="0">
      <text>
        <r>
          <rPr>
            <sz val="10"/>
            <rFont val="Arial"/>
            <family val="2"/>
          </rPr>
          <t xml:space="preserve">Caixas (quando o produto vem em caixa) ou unidades (produto avulso). Padrão: 1 caixa ou 12 unidades.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Sérum Facial Ácido Hialurônico Reflection 30ml</t>
        </r>
      </text>
    </comment>
    <comment ref="B3" authorId="0">
      <text>
        <r>
          <rPr>
            <sz val="10"/>
            <rFont val="Arial"/>
            <family val="2"/>
          </rPr>
          <t xml:space="preserve">Blush Matte Velvet Cheeks</t>
        </r>
      </text>
    </comment>
    <comment ref="B4" authorId="0">
      <text>
        <r>
          <rPr>
            <sz val="10"/>
            <rFont val="Arial"/>
            <family val="2"/>
          </rPr>
          <t xml:space="preserve">Água Micelar Pantenol e Ác. Hialurônico 200ml</t>
        </r>
      </text>
    </comment>
    <comment ref="B5" authorId="0">
      <text>
        <r>
          <rPr>
            <sz val="10"/>
            <rFont val="Arial"/>
            <family val="2"/>
          </rPr>
          <t xml:space="preserve">Cílios Postiços 8D (F007/F011/F012/F019/F022)</t>
        </r>
      </text>
    </comment>
    <comment ref="B6" authorId="0">
      <text>
        <r>
          <rPr>
            <sz val="10"/>
            <rFont val="Arial"/>
            <family val="2"/>
          </rPr>
          <t xml:space="preserve">Tint Brow Preenche Sobrancelha</t>
        </r>
      </text>
    </comment>
    <comment ref="B7" authorId="0">
      <text>
        <r>
          <rPr>
            <sz val="10"/>
            <rFont val="Arial"/>
            <family val="2"/>
          </rPr>
          <t xml:space="preserve">Lip Oil Fruit Juice (LG007)</t>
        </r>
      </text>
    </comment>
    <comment ref="B8" authorId="0">
      <text>
        <r>
          <rPr>
            <sz val="10"/>
            <rFont val="Arial"/>
            <family val="2"/>
          </rPr>
          <t xml:space="preserve">Body Splash 120ml femininos (7 fragrâncias)</t>
        </r>
      </text>
    </comment>
    <comment ref="B9" authorId="0">
      <text>
        <r>
          <rPr>
            <sz val="10"/>
            <rFont val="Arial"/>
            <family val="2"/>
          </rPr>
          <t xml:space="preserve">Body Splash For Men 120ml (3 fragrâncias)</t>
        </r>
      </text>
    </comment>
    <comment ref="B10" authorId="0">
      <text>
        <r>
          <rPr>
            <sz val="10"/>
            <rFont val="Arial"/>
            <family val="2"/>
          </rPr>
          <t xml:space="preserve">Paleta de Sombras The Iconic (Cor 01 e Cor 03)</t>
        </r>
      </text>
    </comment>
    <comment ref="B11" authorId="0">
      <text>
        <r>
          <rPr>
            <sz val="10"/>
            <rFont val="Arial"/>
            <family val="2"/>
          </rPr>
          <t xml:space="preserve">Corretivo em Bastão Color Cover</t>
        </r>
      </text>
    </comment>
    <comment ref="C2" authorId="0">
      <text>
        <r>
          <rPr>
            <sz val="10"/>
            <rFont val="Arial"/>
            <family val="2"/>
          </rPr>
          <t xml:space="preserve">Sérum Facial Vitamina C Reflection 30ml</t>
        </r>
      </text>
    </comment>
    <comment ref="C3" authorId="0">
      <text>
        <r>
          <rPr>
            <sz val="10"/>
            <rFont val="Arial"/>
            <family val="2"/>
          </rPr>
          <t xml:space="preserve">Contorno Velvet (DP2471)</t>
        </r>
      </text>
    </comment>
    <comment ref="C4" authorId="0">
      <text>
        <r>
          <rPr>
            <sz val="10"/>
            <rFont val="Arial"/>
            <family val="2"/>
          </rPr>
          <t xml:space="preserve">Tônico Facial Ácido Glicólico 200ml</t>
        </r>
      </text>
    </comment>
    <comment ref="C5" authorId="0">
      <text>
        <r>
          <rPr>
            <sz val="10"/>
            <rFont val="Arial"/>
            <family val="2"/>
          </rPr>
          <t xml:space="preserve">Cílios Postiços 8D (F007/F011/F012/F019/F022)</t>
        </r>
      </text>
    </comment>
    <comment ref="C6" authorId="0">
      <text>
        <r>
          <rPr>
            <sz val="10"/>
            <rFont val="Arial"/>
            <family val="2"/>
          </rPr>
          <t xml:space="preserve">Gel Fixador de Sobrancelhas com Pente</t>
        </r>
      </text>
    </comment>
    <comment ref="C7" authorId="0">
      <text>
        <r>
          <rPr>
            <sz val="10"/>
            <rFont val="Arial"/>
            <family val="2"/>
          </rPr>
          <t xml:space="preserve">Lip Gloss Alta Pigmentação</t>
        </r>
      </text>
    </comment>
    <comment ref="C8" authorId="0">
      <text>
        <r>
          <rPr>
            <sz val="10"/>
            <rFont val="Arial"/>
            <family val="2"/>
          </rPr>
          <t xml:space="preserve">Hidratante Body Cream 120ml (4 fragrâncias)</t>
        </r>
      </text>
    </comment>
    <comment ref="C9" authorId="0">
      <text>
        <r>
          <rPr>
            <sz val="10"/>
            <rFont val="Arial"/>
            <family val="2"/>
          </rPr>
          <t xml:space="preserve">Body Splash For Men 120ml (3 fragrâncias)</t>
        </r>
      </text>
    </comment>
    <comment ref="C10" authorId="0">
      <text>
        <r>
          <rPr>
            <sz val="10"/>
            <rFont val="Arial"/>
            <family val="2"/>
          </rPr>
          <t xml:space="preserve">Blush Líquido The Pink Multiuso</t>
        </r>
      </text>
    </comment>
    <comment ref="C11" authorId="0">
      <text>
        <r>
          <rPr>
            <sz val="10"/>
            <rFont val="Arial"/>
            <family val="2"/>
          </rPr>
          <t xml:space="preserve">Contorno em Bastão Color Contour</t>
        </r>
      </text>
    </comment>
    <comment ref="D2" authorId="0">
      <text>
        <r>
          <rPr>
            <sz val="10"/>
            <rFont val="Arial"/>
            <family val="2"/>
          </rPr>
          <t xml:space="preserve">Sérum Facial Clareador Reflection 30ml</t>
        </r>
      </text>
    </comment>
    <comment ref="D3" authorId="0">
      <text>
        <r>
          <rPr>
            <sz val="10"/>
            <rFont val="Arial"/>
            <family val="2"/>
          </rPr>
          <t xml:space="preserve">Iluminador Velvet Glow</t>
        </r>
      </text>
    </comment>
    <comment ref="D4" authorId="0">
      <text>
        <r>
          <rPr>
            <sz val="10"/>
            <rFont val="Arial"/>
            <family val="2"/>
          </rPr>
          <t xml:space="preserve">Loção Adstringente Chá Verde 200ml</t>
        </r>
      </text>
    </comment>
    <comment ref="D5" authorId="0">
      <text>
        <r>
          <rPr>
            <sz val="10"/>
            <rFont val="Arial"/>
            <family val="2"/>
          </rPr>
          <t xml:space="preserve">Cílios Postiços 8D (F007/F011/F012/F019/F022)</t>
        </r>
      </text>
    </comment>
    <comment ref="D6" authorId="0">
      <text>
        <r>
          <rPr>
            <sz val="10"/>
            <rFont val="Arial"/>
            <family val="2"/>
          </rPr>
          <t xml:space="preserve">Máscara para Sobrancelhas Tatoo Brow</t>
        </r>
      </text>
    </comment>
    <comment ref="D7" authorId="0">
      <text>
        <r>
          <rPr>
            <sz val="10"/>
            <rFont val="Arial"/>
            <family val="2"/>
          </rPr>
          <t xml:space="preserve">Batom Brilho Natural</t>
        </r>
      </text>
    </comment>
    <comment ref="D10" authorId="0">
      <text>
        <r>
          <rPr>
            <sz val="10"/>
            <rFont val="Arial"/>
            <family val="2"/>
          </rPr>
          <t xml:space="preserve">Contorno em Bastão Color Contour</t>
        </r>
      </text>
    </comment>
    <comment ref="D11" authorId="0">
      <text>
        <r>
          <rPr>
            <sz val="10"/>
            <rFont val="Arial"/>
            <family val="2"/>
          </rPr>
          <t xml:space="preserve">Blush Líquido Multifuncional</t>
        </r>
      </text>
    </comment>
    <comment ref="E3" authorId="0">
      <text>
        <r>
          <rPr>
            <sz val="10"/>
            <rFont val="Arial"/>
            <family val="2"/>
          </rPr>
          <t xml:space="preserve">Pó de Tapioca Lilás Selva Neon</t>
        </r>
      </text>
    </comment>
    <comment ref="E5" authorId="0">
      <text>
        <r>
          <rPr>
            <sz val="10"/>
            <rFont val="Arial"/>
            <family val="2"/>
          </rPr>
          <t xml:space="preserve">Máscara para Cílios 36h Curva e Volume</t>
        </r>
      </text>
    </comment>
    <comment ref="E10" authorId="0">
      <text>
        <r>
          <rPr>
            <sz val="10"/>
            <rFont val="Arial"/>
            <family val="2"/>
          </rPr>
          <t xml:space="preserve">Primer Hidratante Hidro 45ml (CS6372)</t>
        </r>
      </text>
    </comment>
    <comment ref="E11" authorId="0">
      <text>
        <r>
          <rPr>
            <sz val="10"/>
            <rFont val="Arial"/>
            <family val="2"/>
          </rPr>
          <t xml:space="preserve">Primer Hidratante Hidro 45ml (CS6372)</t>
        </r>
      </text>
    </comment>
    <comment ref="F5" authorId="0">
      <text>
        <r>
          <rPr>
            <sz val="10"/>
            <rFont val="Arial"/>
            <family val="2"/>
          </rPr>
          <t xml:space="preserve">Máscara para Sobrancelhas Tatoo Brow</t>
        </r>
      </text>
    </comment>
  </commentList>
</comments>
</file>

<file path=xl/sharedStrings.xml><?xml version="1.0" encoding="utf-8"?>
<sst xmlns="http://schemas.openxmlformats.org/spreadsheetml/2006/main" count="935" uniqueCount="411">
  <si>
    <t xml:space="preserve">Análise do fornecedor Bem Mulher (Loja de R$10)</t>
  </si>
  <si>
    <t xml:space="preserve">Atualizada a cada leva de prints. Produtos com "S" em "Vou comprar?" entram nas contas abaixo, na quantidade da coluna "Quantas caixas/unidades comprar" (aba Produtos).</t>
  </si>
  <si>
    <t xml:space="preserve">Indicador</t>
  </si>
  <si>
    <t xml:space="preserve">Valor</t>
  </si>
  <si>
    <t xml:space="preserve">Produtos analisados</t>
  </si>
  <si>
    <t xml:space="preserve">Produtos marcados para comprar</t>
  </si>
  <si>
    <t xml:space="preserve">Investimento no fornecedor</t>
  </si>
  <si>
    <t xml:space="preserve">Unidades compradas</t>
  </si>
  <si>
    <t xml:space="preserve">Faturamento se vender tudo no seu site</t>
  </si>
  <si>
    <t xml:space="preserve">Lucro se vender tudo no seu site</t>
  </si>
  <si>
    <t xml:space="preserve">Retorno sobre o investimento</t>
  </si>
  <si>
    <t xml:space="preserve">Meta de lucro por mês</t>
  </si>
  <si>
    <t xml:space="preserve">Como usar</t>
  </si>
  <si>
    <t xml:space="preserve">• Texto azul com fundo amarelo = você pode alterar (preço de venda, "Vou comprar?", premissas, preço dos kits).</t>
  </si>
  <si>
    <t xml:space="preserve">• Preço internet "Estimado" (em dourado) = produto exato não achado; confira no Mercado Livre antes de definir o preço.</t>
  </si>
  <si>
    <t xml:space="preserve">• Lucro em vermelho = você perde dinheiro nesse canal com esse preço. No Mercado Livre e na Shopee, prefira vender em kit.</t>
  </si>
  <si>
    <t xml:space="preserve">• Use o filtro do cabeçalho na aba Produtos para ordenar por lucro, categoria ou lote.</t>
  </si>
  <si>
    <t xml:space="preserve">• Taxas do Mercado Livre e da Shopee são aproximadas: confira as atuais e ajuste na aba Premissas.</t>
  </si>
  <si>
    <t xml:space="preserve">Premissas usadas nas contas</t>
  </si>
  <si>
    <t xml:space="preserve">Células em amarelo com texto azul podem ser alteradas. O resto da planilha se atualiza sozinho.</t>
  </si>
  <si>
    <t xml:space="preserve">Premissa</t>
  </si>
  <si>
    <t xml:space="preserve">Observação</t>
  </si>
  <si>
    <t xml:space="preserve">Desconto Pix no seu site</t>
  </si>
  <si>
    <t xml:space="preserve">Configuração atual da loja Élan Beauté</t>
  </si>
  <si>
    <t xml:space="preserve">Taxa do meio de pagamento (seu site)</t>
  </si>
  <si>
    <t xml:space="preserve">Estimativa para Pix; cartão costuma ser 3–5%</t>
  </si>
  <si>
    <t xml:space="preserve">Embalagem por pedido/unidade (R$)</t>
  </si>
  <si>
    <t xml:space="preserve">Estimativa: saquinho + etiqueta</t>
  </si>
  <si>
    <t xml:space="preserve">Mercado Livre: comissão</t>
  </si>
  <si>
    <t xml:space="preserve">Aproximado (anúncio clássico, beleza). Confira a taxa atual</t>
  </si>
  <si>
    <t xml:space="preserve">Mercado Livre: taxa fixa por venda abaixo de R$ 79 (R$)</t>
  </si>
  <si>
    <t xml:space="preserve">Aproximado. Confira a taxa atual</t>
  </si>
  <si>
    <t xml:space="preserve">Shopee: comissão + frete grátis</t>
  </si>
  <si>
    <t xml:space="preserve">Shopee: taxa fixa por item (R$)</t>
  </si>
  <si>
    <t xml:space="preserve">Meta de lucro por mês (R$)</t>
  </si>
  <si>
    <t xml:space="preserve">Valor de exemplo: coloque a sua meta</t>
  </si>
  <si>
    <t xml:space="preserve">ID</t>
  </si>
  <si>
    <t xml:space="preserve">Produto</t>
  </si>
  <si>
    <t xml:space="preserve">Marca</t>
  </si>
  <si>
    <t xml:space="preserve">Categoria</t>
  </si>
  <si>
    <t xml:space="preserve">Lote (print)</t>
  </si>
  <si>
    <t xml:space="preserve">Qtd na caixa</t>
  </si>
  <si>
    <t xml:space="preserve">Preço no fornecedor</t>
  </si>
  <si>
    <t xml:space="preserve">Custo por unidade</t>
  </si>
  <si>
    <t xml:space="preserve">Internet: menor preço</t>
  </si>
  <si>
    <t xml:space="preserve">Internet: maior preço</t>
  </si>
  <si>
    <t xml:space="preserve">Preço internet é</t>
  </si>
  <si>
    <t xml:space="preserve">Seu preço de venda</t>
  </si>
  <si>
    <t xml:space="preserve">Lucro/un. seu site</t>
  </si>
  <si>
    <t xml:space="preserve">Margem seu site</t>
  </si>
  <si>
    <t xml:space="preserve">Lucro/un. Mercado Livre</t>
  </si>
  <si>
    <t xml:space="preserve">Lucro/un. Shopee</t>
  </si>
  <si>
    <t xml:space="preserve">Lucro da caixa (seu site)</t>
  </si>
  <si>
    <t xml:space="preserve">Unidades/mês p/ meta</t>
  </si>
  <si>
    <t xml:space="preserve">Recomendação</t>
  </si>
  <si>
    <t xml:space="preserve">Vou comprar? (S/N)</t>
  </si>
  <si>
    <t xml:space="preserve">Faturamento (se comprar)</t>
  </si>
  <si>
    <t xml:space="preserve">Lucro (se comprar)</t>
  </si>
  <si>
    <t xml:space="preserve">Quantas caixas/unidades comprar</t>
  </si>
  <si>
    <t xml:space="preserve">Investimento (se comprar)</t>
  </si>
  <si>
    <t xml:space="preserve">P01</t>
  </si>
  <si>
    <t xml:space="preserve">Pó Compacto Choco Fun</t>
  </si>
  <si>
    <t xml:space="preserve">Fenzza</t>
  </si>
  <si>
    <t xml:space="preserve">Maquiagem – Rosto</t>
  </si>
  <si>
    <t xml:space="preserve">Estimado</t>
  </si>
  <si>
    <t xml:space="preserve">Comprar</t>
  </si>
  <si>
    <t xml:space="preserve">S</t>
  </si>
  <si>
    <t xml:space="preserve">Referência: Pó Solto Choco Fun R$ 14,99</t>
  </si>
  <si>
    <t xml:space="preserve">P02</t>
  </si>
  <si>
    <t xml:space="preserve">Blush Matte Velvet Cheeks</t>
  </si>
  <si>
    <t xml:space="preserve">Dapop</t>
  </si>
  <si>
    <t xml:space="preserve">Comprar (kit Pele Perfeita)</t>
  </si>
  <si>
    <t xml:space="preserve">Linha nova; referência: outros blushes Dapop</t>
  </si>
  <si>
    <t xml:space="preserve">P03</t>
  </si>
  <si>
    <t xml:space="preserve">Blush Glow Velvet Cheeks</t>
  </si>
  <si>
    <t xml:space="preserve">Confirmar preço</t>
  </si>
  <si>
    <t xml:space="preserve">N</t>
  </si>
  <si>
    <t xml:space="preserve">Preço não apareceu no print</t>
  </si>
  <si>
    <t xml:space="preserve">P04</t>
  </si>
  <si>
    <t xml:space="preserve">Pó Translúcido Solto Soft Focus</t>
  </si>
  <si>
    <t xml:space="preserve">P05</t>
  </si>
  <si>
    <t xml:space="preserve">Bronzer Velvet (DP2470)</t>
  </si>
  <si>
    <t xml:space="preserve">Opcional</t>
  </si>
  <si>
    <t xml:space="preserve">P06</t>
  </si>
  <si>
    <t xml:space="preserve">Contorno Velvet (DP2471)</t>
  </si>
  <si>
    <t xml:space="preserve">P07</t>
  </si>
  <si>
    <t xml:space="preserve">Iluminador Velvet Glow</t>
  </si>
  <si>
    <t xml:space="preserve">P08</t>
  </si>
  <si>
    <t xml:space="preserve">Pó Facial Matificante Skin Filter</t>
  </si>
  <si>
    <t xml:space="preserve">Site diz "C/24 Unid" por R$ 5,70: confirmar se é caixa ou unidade</t>
  </si>
  <si>
    <t xml:space="preserve">P09</t>
  </si>
  <si>
    <t xml:space="preserve">Água Micelar Pantenol e Ác. Hialurônico 200ml</t>
  </si>
  <si>
    <t xml:space="preserve">Skincare</t>
  </si>
  <si>
    <t xml:space="preserve">Confirmado</t>
  </si>
  <si>
    <t xml:space="preserve">P10</t>
  </si>
  <si>
    <t xml:space="preserve">Tônico Facial Ácido Glicólico 200ml</t>
  </si>
  <si>
    <t xml:space="preserve">P11</t>
  </si>
  <si>
    <t xml:space="preserve">Demaquilante Aloe Vera e Alantoína 200ml</t>
  </si>
  <si>
    <t xml:space="preserve">P12</t>
  </si>
  <si>
    <t xml:space="preserve">Loção Adstringente Chá Verde 200ml</t>
  </si>
  <si>
    <t xml:space="preserve">Comprar (kit Rotina Skincare)</t>
  </si>
  <si>
    <t xml:space="preserve">P13</t>
  </si>
  <si>
    <t xml:space="preserve">Água Micelar Vitamina C e Ác. Hialurônico 200ml</t>
  </si>
  <si>
    <t xml:space="preserve">P14</t>
  </si>
  <si>
    <t xml:space="preserve">Água Micelar Rosa Mosqueta e Niacinamida 200ml</t>
  </si>
  <si>
    <t xml:space="preserve">P15</t>
  </si>
  <si>
    <t xml:space="preserve">Kit Esponjas Makeup Blender Puff c/4</t>
  </si>
  <si>
    <t xml:space="preserve">Mahav</t>
  </si>
  <si>
    <t xml:space="preserve">Acessórios</t>
  </si>
  <si>
    <t xml:space="preserve">P16</t>
  </si>
  <si>
    <t xml:space="preserve">Esponja Gota Makeup Blender Choco/Cherry</t>
  </si>
  <si>
    <t xml:space="preserve">Só em kit</t>
  </si>
  <si>
    <t xml:space="preserve">P17</t>
  </si>
  <si>
    <t xml:space="preserve">Esponja Chanfrada Makeup Blender Cut</t>
  </si>
  <si>
    <t xml:space="preserve">P18</t>
  </si>
  <si>
    <t xml:space="preserve">Lips e Cheeks Cream</t>
  </si>
  <si>
    <t xml:space="preserve">Miss Romantic</t>
  </si>
  <si>
    <t xml:space="preserve">Maquiagem – Lábios</t>
  </si>
  <si>
    <t xml:space="preserve">P19</t>
  </si>
  <si>
    <t xml:space="preserve">Lip Gloss Sweet</t>
  </si>
  <si>
    <t xml:space="preserve">Limitar (muitos gloss)</t>
  </si>
  <si>
    <t xml:space="preserve">P20</t>
  </si>
  <si>
    <t xml:space="preserve">Lip Liner Sweet Linha dos Lábios</t>
  </si>
  <si>
    <t xml:space="preserve">P21</t>
  </si>
  <si>
    <t xml:space="preserve">Máscara para Cílios Natural Curling</t>
  </si>
  <si>
    <t xml:space="preserve">Maquiagem – Olhos</t>
  </si>
  <si>
    <t xml:space="preserve">Trocada pela Super Poderes 36h</t>
  </si>
  <si>
    <t xml:space="preserve">P22</t>
  </si>
  <si>
    <t xml:space="preserve">Cílios Postiços 8D (F007/F011/F012/F019/F022)</t>
  </si>
  <si>
    <t xml:space="preserve">Sabrina Sato</t>
  </si>
  <si>
    <t xml:space="preserve">5 modelos, mesmo preço. Pedir nota fiscal e confirmar que são originais</t>
  </si>
  <si>
    <t xml:space="preserve">P23</t>
  </si>
  <si>
    <t xml:space="preserve">Sérum Facial Ácido Hialurônico Reflection 30ml</t>
  </si>
  <si>
    <t xml:space="preserve">Safira</t>
  </si>
  <si>
    <t xml:space="preserve">Comprar (kit Pele de Vidro)</t>
  </si>
  <si>
    <t xml:space="preserve">P24</t>
  </si>
  <si>
    <t xml:space="preserve">Sérum Facial Clareador Reflection 30ml</t>
  </si>
  <si>
    <t xml:space="preserve">P25</t>
  </si>
  <si>
    <t xml:space="preserve">Sérum Facial Vitamina C Reflection 30ml</t>
  </si>
  <si>
    <t xml:space="preserve">P26</t>
  </si>
  <si>
    <t xml:space="preserve">Creme Hidratante Ureia 3% 200g</t>
  </si>
  <si>
    <t xml:space="preserve">Corpo</t>
  </si>
  <si>
    <t xml:space="preserve">Pesado: frete mais caro. Melhor no seu site</t>
  </si>
  <si>
    <t xml:space="preserve">P27</t>
  </si>
  <si>
    <t xml:space="preserve">Batom Brilho Natural</t>
  </si>
  <si>
    <t xml:space="preserve">Melana</t>
  </si>
  <si>
    <t xml:space="preserve">P28</t>
  </si>
  <si>
    <t xml:space="preserve">Lip Oil Fruit Juice (LG007)</t>
  </si>
  <si>
    <t xml:space="preserve">Hudamoji</t>
  </si>
  <si>
    <t xml:space="preserve">P29</t>
  </si>
  <si>
    <t xml:space="preserve">Lip Gloss Alta Pigmentação</t>
  </si>
  <si>
    <t xml:space="preserve">P30</t>
  </si>
  <si>
    <t xml:space="preserve">Iluminador Compacto</t>
  </si>
  <si>
    <t xml:space="preserve">JummyJu</t>
  </si>
  <si>
    <t xml:space="preserve">P31</t>
  </si>
  <si>
    <t xml:space="preserve">Máscara para Sobrancelhas Tatoo Brow</t>
  </si>
  <si>
    <t xml:space="preserve">Femme Paris</t>
  </si>
  <si>
    <t xml:space="preserve">Maquiagem – Sobrancelhas</t>
  </si>
  <si>
    <t xml:space="preserve">Comprar (kits)</t>
  </si>
  <si>
    <t xml:space="preserve">P32</t>
  </si>
  <si>
    <t xml:space="preserve">Contorno Stick</t>
  </si>
  <si>
    <t xml:space="preserve">P33</t>
  </si>
  <si>
    <t xml:space="preserve">Lip Gloss Peel-Off</t>
  </si>
  <si>
    <t xml:space="preserve">Comprar (1 das 2 linhas de gloss)</t>
  </si>
  <si>
    <t xml:space="preserve">Tendência</t>
  </si>
  <si>
    <t xml:space="preserve">P34</t>
  </si>
  <si>
    <t xml:space="preserve">Conjunto de Pentes e Acessórios c/9 peças</t>
  </si>
  <si>
    <t xml:space="preserve">—</t>
  </si>
  <si>
    <t xml:space="preserve">Cabelos</t>
  </si>
  <si>
    <t xml:space="preserve">P35</t>
  </si>
  <si>
    <t xml:space="preserve">Mini Esponja para Maquiagem c/4</t>
  </si>
  <si>
    <t xml:space="preserve">Rub… (confirmar marca)</t>
  </si>
  <si>
    <t xml:space="preserve">P36</t>
  </si>
  <si>
    <t xml:space="preserve">Pó de Tapioca Lilás Selva Neon</t>
  </si>
  <si>
    <t xml:space="preserve">Miss Rôse</t>
  </si>
  <si>
    <t xml:space="preserve">Melhor custo da lista</t>
  </si>
  <si>
    <t xml:space="preserve">P37</t>
  </si>
  <si>
    <t xml:space="preserve">Tint Brow Preenche Sobrancelha</t>
  </si>
  <si>
    <t xml:space="preserve">Wike Make</t>
  </si>
  <si>
    <t xml:space="preserve">Comprar (kit Sobrancelha)</t>
  </si>
  <si>
    <t xml:space="preserve">P38</t>
  </si>
  <si>
    <t xml:space="preserve">Gel Fixador de Sobrancelhas com Pente</t>
  </si>
  <si>
    <t xml:space="preserve">P39</t>
  </si>
  <si>
    <t xml:space="preserve">Lip Gloss Candy</t>
  </si>
  <si>
    <t xml:space="preserve">Evitar (margem baixa)</t>
  </si>
  <si>
    <t xml:space="preserve">Vendido por R$ 7,50–10 em outras lojas</t>
  </si>
  <si>
    <t xml:space="preserve">P40</t>
  </si>
  <si>
    <t xml:space="preserve">Lip Gloss Ice Cream</t>
  </si>
  <si>
    <t xml:space="preserve">P41</t>
  </si>
  <si>
    <t xml:space="preserve">Lip Gloss Pompom</t>
  </si>
  <si>
    <t xml:space="preserve">P42</t>
  </si>
  <si>
    <t xml:space="preserve">Lip Gloss com Chaveiro</t>
  </si>
  <si>
    <t xml:space="preserve">Bom para presente</t>
  </si>
  <si>
    <t xml:space="preserve">P43</t>
  </si>
  <si>
    <t xml:space="preserve">Lip Gloss (ME005)</t>
  </si>
  <si>
    <t xml:space="preserve">Belle Angel</t>
  </si>
  <si>
    <t xml:space="preserve">P44</t>
  </si>
  <si>
    <t xml:space="preserve">Hidratante Corporal Body Cream Libertad 150ml</t>
  </si>
  <si>
    <t xml:space="preserve">Cap Life</t>
  </si>
  <si>
    <t xml:space="preserve">P45</t>
  </si>
  <si>
    <t xml:space="preserve">Super Hidratante Corporal e Facial Vitamina C 150g</t>
  </si>
  <si>
    <t xml:space="preserve">Better Me</t>
  </si>
  <si>
    <t xml:space="preserve">Outras versões (pêssego, baunilha) à venda no ML/Shopee</t>
  </si>
  <si>
    <t xml:space="preserve">P46</t>
  </si>
  <si>
    <t xml:space="preserve">Super Esfoliante Corporal e Facial Vitamina C 150g</t>
  </si>
  <si>
    <t xml:space="preserve">P47</t>
  </si>
  <si>
    <t xml:space="preserve">Batom Líquido Matte Touch</t>
  </si>
  <si>
    <t xml:space="preserve">Pink 21</t>
  </si>
  <si>
    <t xml:space="preserve">Caixa com 48</t>
  </si>
  <si>
    <t xml:space="preserve">P48</t>
  </si>
  <si>
    <t xml:space="preserve">Batom Líquido Beauty</t>
  </si>
  <si>
    <t xml:space="preserve">P49</t>
  </si>
  <si>
    <t xml:space="preserve">Batom Líquido Efeito Matte All Day</t>
  </si>
  <si>
    <t xml:space="preserve">Comprar (1 linha de batom)</t>
  </si>
  <si>
    <t xml:space="preserve">Caixa com 48. Visto de R$ 10 a R$ 24,99</t>
  </si>
  <si>
    <t xml:space="preserve">P50</t>
  </si>
  <si>
    <t xml:space="preserve">Pó Solto Banana Soft Sheer</t>
  </si>
  <si>
    <t xml:space="preserve">Alleva</t>
  </si>
  <si>
    <t xml:space="preserve">Caixa com 18</t>
  </si>
  <si>
    <t xml:space="preserve">P51</t>
  </si>
  <si>
    <t xml:space="preserve">Pó Solto Translúcido Soft Sheer</t>
  </si>
  <si>
    <t xml:space="preserve">P52</t>
  </si>
  <si>
    <t xml:space="preserve">Body Splash 120ml femininos (7 fragrâncias)</t>
  </si>
  <si>
    <t xml:space="preserve">Natuza</t>
  </si>
  <si>
    <t xml:space="preserve">Perfumaria</t>
  </si>
  <si>
    <t xml:space="preserve">Obsession Pink, Libertad, Sahar Al Noor, Royal Rose, Golden Vip, Yara Zahra, Good Angel. Body splash árabe de 200ml de outras marcas sai por ~R$ 59,90</t>
  </si>
  <si>
    <t xml:space="preserve">P53</t>
  </si>
  <si>
    <t xml:space="preserve">Body Splash For Men 120ml (3 fragrâncias)</t>
  </si>
  <si>
    <t xml:space="preserve">Asad Black, Royal Black, Hayat Al Gold</t>
  </si>
  <si>
    <t xml:space="preserve">P54</t>
  </si>
  <si>
    <t xml:space="preserve">Hidratante Body Cream 120ml (4 fragrâncias)</t>
  </si>
  <si>
    <t xml:space="preserve">Comprar (kit Perfumada)</t>
  </si>
  <si>
    <t xml:space="preserve">Libertad, Obsession Pink, Good Angel, Golden Vip (lote 5)</t>
  </si>
  <si>
    <t xml:space="preserve">P55</t>
  </si>
  <si>
    <t xml:space="preserve">Pó Solto Blindagem Fix All</t>
  </si>
  <si>
    <t xml:space="preserve">P56</t>
  </si>
  <si>
    <t xml:space="preserve">Trio de Sombras Snow</t>
  </si>
  <si>
    <t xml:space="preserve">Mia Make</t>
  </si>
  <si>
    <t xml:space="preserve">P57</t>
  </si>
  <si>
    <t xml:space="preserve">Duo Lips Contorno e Batom</t>
  </si>
  <si>
    <t xml:space="preserve">Duas coleções de cores no site</t>
  </si>
  <si>
    <t xml:space="preserve">P58</t>
  </si>
  <si>
    <t xml:space="preserve">Primer Hidratante Hidro 45ml (CS6372)</t>
  </si>
  <si>
    <t xml:space="preserve">Comprar (kit Make Completa)</t>
  </si>
  <si>
    <t xml:space="preserve">P59</t>
  </si>
  <si>
    <t xml:space="preserve">Corretivo Líquido Amora</t>
  </si>
  <si>
    <t xml:space="preserve">Referência: base Amora by Pink 21 R$ 13,29</t>
  </si>
  <si>
    <t xml:space="preserve">P60</t>
  </si>
  <si>
    <t xml:space="preserve">Blush em Bastão Amora</t>
  </si>
  <si>
    <t xml:space="preserve">Referência: blush em bastão Pink 21 R$ 18,50</t>
  </si>
  <si>
    <t xml:space="preserve">P61</t>
  </si>
  <si>
    <t xml:space="preserve">Lip Gloss Candy Bear</t>
  </si>
  <si>
    <t xml:space="preserve">Evitar (muitos gloss)</t>
  </si>
  <si>
    <t xml:space="preserve">P62</t>
  </si>
  <si>
    <t xml:space="preserve">Corretivo Quick Fix We Candy Box A</t>
  </si>
  <si>
    <t xml:space="preserve">We Candy</t>
  </si>
  <si>
    <t xml:space="preserve">Caixa com 36</t>
  </si>
  <si>
    <t xml:space="preserve">P63</t>
  </si>
  <si>
    <t xml:space="preserve">Lip Gloss Fruits (3326.1.1)</t>
  </si>
  <si>
    <t xml:space="preserve">Vivai</t>
  </si>
  <si>
    <t xml:space="preserve">Evitar (vendido barato)</t>
  </si>
  <si>
    <t xml:space="preserve">Box de 24 visto por R$ 49,90 na Amazon (~R$ 2,08/un.)</t>
  </si>
  <si>
    <t xml:space="preserve">P64</t>
  </si>
  <si>
    <t xml:space="preserve">Gloss Glitter Choko (3429.1.1)</t>
  </si>
  <si>
    <t xml:space="preserve">P65</t>
  </si>
  <si>
    <t xml:space="preserve">Corretivo Líquido Acabamento Matte</t>
  </si>
  <si>
    <t xml:space="preserve">Confirmar qtd</t>
  </si>
  <si>
    <t xml:space="preserve">Qtd na caixa cortada no print: considerei 24, confirmar</t>
  </si>
  <si>
    <t xml:space="preserve">P66</t>
  </si>
  <si>
    <t xml:space="preserve">Contorno em Bastão Color Contour</t>
  </si>
  <si>
    <t xml:space="preserve">Caixa com 48: custo muito baixo</t>
  </si>
  <si>
    <t xml:space="preserve">P67</t>
  </si>
  <si>
    <t xml:space="preserve">Máscara Incolor para Sobrancelha Honey</t>
  </si>
  <si>
    <t xml:space="preserve">P68</t>
  </si>
  <si>
    <t xml:space="preserve">Lip Gloss Amora (CS7043)</t>
  </si>
  <si>
    <t xml:space="preserve">P69</t>
  </si>
  <si>
    <t xml:space="preserve">Blush Líquido The Pink Multiuso</t>
  </si>
  <si>
    <t xml:space="preserve">Blush e batom; em alta</t>
  </si>
  <si>
    <t xml:space="preserve">P70</t>
  </si>
  <si>
    <t xml:space="preserve">Delineador Líquido Peel Off Amora</t>
  </si>
  <si>
    <t xml:space="preserve">P71</t>
  </si>
  <si>
    <t xml:space="preserve">Lip Balm (CS7085)</t>
  </si>
  <si>
    <t xml:space="preserve">P72</t>
  </si>
  <si>
    <t xml:space="preserve">Paleta de Sombras The Iconic (Cor 01 e Cor 03)</t>
  </si>
  <si>
    <t xml:space="preserve">9 cores. Cor 03 no lote 6, mesmo preço. Outras paletas Pink 21 de R$ 11,99 a R$ 45,90</t>
  </si>
  <si>
    <t xml:space="preserve">P73</t>
  </si>
  <si>
    <t xml:space="preserve">Corretivo Líquido (CS5963)</t>
  </si>
  <si>
    <t xml:space="preserve">Comprar (único corretivo)</t>
  </si>
  <si>
    <t xml:space="preserve">Corretivo mais barato da lista</t>
  </si>
  <si>
    <t xml:space="preserve">P74</t>
  </si>
  <si>
    <t xml:space="preserve">Máscara para Cílios Volume e Define</t>
  </si>
  <si>
    <t xml:space="preserve">4Angels</t>
  </si>
  <si>
    <t xml:space="preserve">P75</t>
  </si>
  <si>
    <t xml:space="preserve">Batom Líquido (BR1262)</t>
  </si>
  <si>
    <t xml:space="preserve">Evitar (já tem batom)</t>
  </si>
  <si>
    <t xml:space="preserve">P76</t>
  </si>
  <si>
    <t xml:space="preserve">Lip Gloss Caramel (BR1260)</t>
  </si>
  <si>
    <t xml:space="preserve">P77</t>
  </si>
  <si>
    <t xml:space="preserve">Lip Tint (BR1255)</t>
  </si>
  <si>
    <t xml:space="preserve">Lip tint 4Angels visto por R$ 10</t>
  </si>
  <si>
    <t xml:space="preserve">P78</t>
  </si>
  <si>
    <t xml:space="preserve">Delineador Líquido (BR1250)</t>
  </si>
  <si>
    <t xml:space="preserve">P79</t>
  </si>
  <si>
    <t xml:space="preserve">Paleta de Sombras (BR1248)</t>
  </si>
  <si>
    <t xml:space="preserve">A The Iconic (Pink 21) dá mais lucro</t>
  </si>
  <si>
    <t xml:space="preserve">P80</t>
  </si>
  <si>
    <t xml:space="preserve">Corretivo Líquido Camuflagem Matte</t>
  </si>
  <si>
    <t xml:space="preserve">Evitar (tem corretivo melhor)</t>
  </si>
  <si>
    <t xml:space="preserve">P81</t>
  </si>
  <si>
    <t xml:space="preserve">Lip Oil Heart Charm (BR1228)</t>
  </si>
  <si>
    <t xml:space="preserve">P82</t>
  </si>
  <si>
    <t xml:space="preserve">Lip Oil (BR1226)</t>
  </si>
  <si>
    <t xml:space="preserve">P83</t>
  </si>
  <si>
    <t xml:space="preserve">Lip Gloss (BR1225)</t>
  </si>
  <si>
    <t xml:space="preserve">P84</t>
  </si>
  <si>
    <t xml:space="preserve">Brilho Labial Plump Cat Omg</t>
  </si>
  <si>
    <t xml:space="preserve">Love Rain</t>
  </si>
  <si>
    <t xml:space="preserve">P85</t>
  </si>
  <si>
    <t xml:space="preserve">Lenço Demaquilante 30 un. (Vit. C, Niacinamida, Retinol, Ác. Hialurônico)</t>
  </si>
  <si>
    <t xml:space="preserve">Super Poderes</t>
  </si>
  <si>
    <t xml:space="preserve">Opcional (bom para kit)</t>
  </si>
  <si>
    <t xml:space="preserve">4 versões, mesmo preço</t>
  </si>
  <si>
    <t xml:space="preserve">P86</t>
  </si>
  <si>
    <t xml:space="preserve">Corretivo em Bastão</t>
  </si>
  <si>
    <t xml:space="preserve">Evitar (Color Cover é mais barato)</t>
  </si>
  <si>
    <t xml:space="preserve">P87</t>
  </si>
  <si>
    <t xml:space="preserve">Máscara para Cílios (E-CZ223)</t>
  </si>
  <si>
    <t xml:space="preserve">P88</t>
  </si>
  <si>
    <t xml:space="preserve">Delineador Líquido Boom Eyes</t>
  </si>
  <si>
    <t xml:space="preserve">P89</t>
  </si>
  <si>
    <t xml:space="preserve">Corretivo em Bastão Color Cover</t>
  </si>
  <si>
    <t xml:space="preserve">Caixa com 48: custo muito baixo. Outros corretivos Pink 21 R$ 13,80–15,90</t>
  </si>
  <si>
    <t xml:space="preserve">P90</t>
  </si>
  <si>
    <t xml:space="preserve">Lip Gloss Honey (CS6661)</t>
  </si>
  <si>
    <t xml:space="preserve">P91</t>
  </si>
  <si>
    <t xml:space="preserve">Lápis Labial Multiuso (c/12)</t>
  </si>
  <si>
    <t xml:space="preserve">Pacote com 12: R$ 1,39 cada</t>
  </si>
  <si>
    <t xml:space="preserve">P92</t>
  </si>
  <si>
    <t xml:space="preserve">Blush Líquido Multifuncional</t>
  </si>
  <si>
    <t xml:space="preserve">Mais barato que o The Pink (R$ 3,92 x R$ 6,62). Referência: blush líquido multiuso Pink 21</t>
  </si>
  <si>
    <t xml:space="preserve">P93</t>
  </si>
  <si>
    <t xml:space="preserve">Body Splash Saarah 130ml</t>
  </si>
  <si>
    <t xml:space="preserve">Visto a R$ 6,40–6,99 em atacadistas; preço de varejo não achado</t>
  </si>
  <si>
    <t xml:space="preserve">P94</t>
  </si>
  <si>
    <t xml:space="preserve">Corretivo Líquido Concealer (LR-4908)</t>
  </si>
  <si>
    <t xml:space="preserve">P95</t>
  </si>
  <si>
    <t xml:space="preserve">Batom Matte Cherry</t>
  </si>
  <si>
    <t xml:space="preserve">Preço escondido no print</t>
  </si>
  <si>
    <t xml:space="preserve">P96</t>
  </si>
  <si>
    <t xml:space="preserve">Batom Cintilante Viv</t>
  </si>
  <si>
    <t xml:space="preserve">P97</t>
  </si>
  <si>
    <t xml:space="preserve">Pó Solto Banana (B101)</t>
  </si>
  <si>
    <t xml:space="preserve">Caixa com 19. O Pó de Tapioca Miss Rôse é mais barato</t>
  </si>
  <si>
    <t xml:space="preserve">P98</t>
  </si>
  <si>
    <t xml:space="preserve">Blush (ME003)</t>
  </si>
  <si>
    <t xml:space="preserve">P99</t>
  </si>
  <si>
    <t xml:space="preserve">Lip Cream You Me com Chaveiro</t>
  </si>
  <si>
    <t xml:space="preserve">P100</t>
  </si>
  <si>
    <t xml:space="preserve">Lip Oil Jelly Hello Kitty</t>
  </si>
  <si>
    <t xml:space="preserve">Yalanni</t>
  </si>
  <si>
    <t xml:space="preserve">Evitar (personagem licenciado)</t>
  </si>
  <si>
    <t xml:space="preserve">Hello Kitty é marca registrada: sem licença comprovada, o anúncio pode ser removido</t>
  </si>
  <si>
    <t xml:space="preserve">P101</t>
  </si>
  <si>
    <t xml:space="preserve">Lip Gloss Chocolip</t>
  </si>
  <si>
    <t xml:space="preserve">P102</t>
  </si>
  <si>
    <t xml:space="preserve">Gel para Sobrancelha Velvet Fix Brow</t>
  </si>
  <si>
    <t xml:space="preserve">Já tem o gel Wike Make</t>
  </si>
  <si>
    <t xml:space="preserve">P103</t>
  </si>
  <si>
    <t xml:space="preserve">Candy Balm 10g (Biscoito Recheado, Creme de Avelã)</t>
  </si>
  <si>
    <t xml:space="preserve">Hidratante labial; 2 sabores</t>
  </si>
  <si>
    <t xml:space="preserve">P104</t>
  </si>
  <si>
    <t xml:space="preserve">Máscara para Cílios Alonga Olhar</t>
  </si>
  <si>
    <t xml:space="preserve">P105</t>
  </si>
  <si>
    <t xml:space="preserve">Máscara para Cílios 36h Curva e Volume</t>
  </si>
  <si>
    <t xml:space="preserve">Comprar (kit Olhar Poderoso)</t>
  </si>
  <si>
    <t xml:space="preserve">Mais barata que a Miss Romantic (R$ 5,15 x R$ 6,68)</t>
  </si>
  <si>
    <t xml:space="preserve">P106</t>
  </si>
  <si>
    <t xml:space="preserve">Gloss Labial Super Bocão (N°06, N°08, N°09)</t>
  </si>
  <si>
    <t xml:space="preserve">Gloss "aumenta boca", muito procurado</t>
  </si>
  <si>
    <t xml:space="preserve">P107</t>
  </si>
  <si>
    <t xml:space="preserve">Lip Gloss Gelato</t>
  </si>
  <si>
    <t xml:space="preserve">P108</t>
  </si>
  <si>
    <t xml:space="preserve">Pó Solto Facial Rosa Entregou Tudo</t>
  </si>
  <si>
    <t xml:space="preserve">Caixa com 15</t>
  </si>
  <si>
    <t xml:space="preserve">P109</t>
  </si>
  <si>
    <t xml:space="preserve">Body Cream 125ml (Glow Belle, Angelical, Paradoxo, Glowly, Royal Glow)</t>
  </si>
  <si>
    <t xml:space="preserve">Glow Line</t>
  </si>
  <si>
    <t xml:space="preserve">5 fragrâncias. A Natuza já cobre os body creams</t>
  </si>
  <si>
    <t xml:space="preserve">Kit</t>
  </si>
  <si>
    <t xml:space="preserve">Item 1</t>
  </si>
  <si>
    <t xml:space="preserve">Item 2</t>
  </si>
  <si>
    <t xml:space="preserve">Item 3</t>
  </si>
  <si>
    <t xml:space="preserve">Item 4</t>
  </si>
  <si>
    <t xml:space="preserve">Item 5</t>
  </si>
  <si>
    <t xml:space="preserve">Custo do kit</t>
  </si>
  <si>
    <t xml:space="preserve">Preço de venda</t>
  </si>
  <si>
    <t xml:space="preserve">Lucro seu site</t>
  </si>
  <si>
    <t xml:space="preserve">Lucro Mercado Livre</t>
  </si>
  <si>
    <t xml:space="preserve">Lucro Shopee</t>
  </si>
  <si>
    <t xml:space="preserve">Kits/mês p/ meta (seu site)</t>
  </si>
  <si>
    <t xml:space="preserve">Pele de Vidro</t>
  </si>
  <si>
    <t xml:space="preserve">Pele Perfeita</t>
  </si>
  <si>
    <t xml:space="preserve">Rotina Skincare</t>
  </si>
  <si>
    <t xml:space="preserve">Olhar Poderoso</t>
  </si>
  <si>
    <t xml:space="preserve">Sobrancelha Perfeita</t>
  </si>
  <si>
    <t xml:space="preserve">Lábios Suculentos</t>
  </si>
  <si>
    <t xml:space="preserve">Perfumada (splash + creme)</t>
  </si>
  <si>
    <t xml:space="preserve">Presente Masculino (2 splash)</t>
  </si>
  <si>
    <t xml:space="preserve">Make Completa</t>
  </si>
  <si>
    <t xml:space="preserve">Pele Pink 21</t>
  </si>
  <si>
    <t xml:space="preserve">Os itens são IDs da aba Produtos (passe o mouse para ver o nome). Repetir um ID = mais de uma unidade no kit.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</si>
</sst>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\-#,##0;\-"/>
    <numFmt numFmtId="166" formatCode="&quot;R$ &quot;#,##0.00;[RED]&quot;-R$ &quot;#,##0.00;\-"/>
    <numFmt numFmtId="167" formatCode="0.0%;[RED]\-0.0%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666666"/>
      <name val="Arial"/>
      <family val="0"/>
      <charset val="1"/>
    </font>
    <font>
      <sz val="11"/>
      <color rgb="FFB8860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11014"/>
        <bgColor rgb="FF000000"/>
      </patternFill>
    </fill>
    <fill>
      <patternFill patternType="solid">
        <fgColor rgb="FFFFE3EC"/>
        <bgColor rgb="FFE6DDE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8">
    <dxf>
      <fill>
        <patternFill patternType="solid">
          <fgColor rgb="FF1110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8C78D"/>
          <bgColor rgb="FF000000"/>
        </patternFill>
      </fill>
    </dxf>
    <dxf>
      <fill>
        <patternFill patternType="solid">
          <fgColor rgb="FF7AC88F"/>
          <bgColor rgb="FF000000"/>
        </patternFill>
      </fill>
    </dxf>
    <dxf>
      <fill>
        <patternFill patternType="solid">
          <fgColor rgb="FF9CD6AB"/>
          <bgColor rgb="FF000000"/>
        </patternFill>
      </fill>
    </dxf>
    <dxf>
      <fill>
        <patternFill patternType="solid">
          <fgColor rgb="FF9DD6AC"/>
          <bgColor rgb="FF000000"/>
        </patternFill>
      </fill>
    </dxf>
    <dxf>
      <fill>
        <patternFill patternType="solid">
          <fgColor rgb="FF9ED7AD"/>
          <bgColor rgb="FF000000"/>
        </patternFill>
      </fill>
    </dxf>
    <dxf>
      <fill>
        <patternFill patternType="solid">
          <fgColor rgb="FFA6DAB4"/>
          <bgColor rgb="FF000000"/>
        </patternFill>
      </fill>
    </dxf>
    <dxf>
      <fill>
        <patternFill patternType="solid">
          <fgColor rgb="FFACDDB9"/>
          <bgColor rgb="FF000000"/>
        </patternFill>
      </fill>
    </dxf>
    <dxf>
      <fill>
        <patternFill patternType="solid">
          <fgColor rgb="FFB0DEBC"/>
          <bgColor rgb="FF000000"/>
        </patternFill>
      </fill>
    </dxf>
    <dxf>
      <fill>
        <patternFill patternType="solid">
          <fgColor rgb="FFB6E1C2"/>
          <bgColor rgb="FF000000"/>
        </patternFill>
      </fill>
    </dxf>
    <dxf>
      <fill>
        <patternFill patternType="solid">
          <fgColor rgb="FFB7E1C2"/>
          <bgColor rgb="FF000000"/>
        </patternFill>
      </fill>
    </dxf>
    <dxf>
      <fill>
        <patternFill patternType="solid">
          <fgColor rgb="FFB8E2C3"/>
          <bgColor rgb="FF000000"/>
        </patternFill>
      </fill>
    </dxf>
    <dxf>
      <fill>
        <patternFill patternType="solid">
          <fgColor rgb="FFBAE3C5"/>
          <bgColor rgb="FF000000"/>
        </patternFill>
      </fill>
    </dxf>
    <dxf>
      <fill>
        <patternFill patternType="solid">
          <fgColor rgb="FFC2E6CB"/>
          <bgColor rgb="FF000000"/>
        </patternFill>
      </fill>
    </dxf>
    <dxf>
      <fill>
        <patternFill patternType="solid">
          <fgColor rgb="FFC3E6CD"/>
          <bgColor rgb="FF000000"/>
        </patternFill>
      </fill>
    </dxf>
    <dxf>
      <fill>
        <patternFill patternType="solid">
          <fgColor rgb="FFC7E8CF"/>
          <bgColor rgb="FF000000"/>
        </patternFill>
      </fill>
    </dxf>
    <dxf>
      <fill>
        <patternFill patternType="solid">
          <fgColor rgb="FFC7E8D0"/>
          <bgColor rgb="FF000000"/>
        </patternFill>
      </fill>
    </dxf>
    <dxf>
      <fill>
        <patternFill patternType="solid">
          <fgColor rgb="FFC8E8D1"/>
          <bgColor rgb="FF000000"/>
        </patternFill>
      </fill>
    </dxf>
    <dxf>
      <fill>
        <patternFill patternType="solid">
          <fgColor rgb="FFCAE9D2"/>
          <bgColor rgb="FF000000"/>
        </patternFill>
      </fill>
    </dxf>
    <dxf>
      <fill>
        <patternFill patternType="solid">
          <fgColor rgb="FFCCEAD4"/>
          <bgColor rgb="FF000000"/>
        </patternFill>
      </fill>
    </dxf>
    <dxf>
      <fill>
        <patternFill patternType="solid">
          <fgColor rgb="FFD1ECD8"/>
          <bgColor rgb="FF000000"/>
        </patternFill>
      </fill>
    </dxf>
    <dxf>
      <fill>
        <patternFill patternType="solid">
          <fgColor rgb="FFD2EDD9"/>
          <bgColor rgb="FF000000"/>
        </patternFill>
      </fill>
    </dxf>
    <dxf>
      <fill>
        <patternFill patternType="solid">
          <fgColor rgb="FFD3EDDA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D5EEDB"/>
          <bgColor rgb="FF000000"/>
        </patternFill>
      </fill>
    </dxf>
    <dxf>
      <fill>
        <patternFill patternType="solid">
          <fgColor rgb="FFD5EEDC"/>
          <bgColor rgb="FF000000"/>
        </patternFill>
      </fill>
    </dxf>
    <dxf>
      <fill>
        <patternFill patternType="solid">
          <fgColor rgb="FFD6EEDC"/>
          <bgColor rgb="FF000000"/>
        </patternFill>
      </fill>
    </dxf>
    <dxf>
      <fill>
        <patternFill patternType="solid">
          <fgColor rgb="FFD7EFDD"/>
          <bgColor rgb="FF000000"/>
        </patternFill>
      </fill>
    </dxf>
    <dxf>
      <fill>
        <patternFill patternType="solid">
          <fgColor rgb="FFD8EFDE"/>
          <bgColor rgb="FF000000"/>
        </patternFill>
      </fill>
    </dxf>
    <dxf>
      <fill>
        <patternFill patternType="solid">
          <fgColor rgb="FFDAF0E0"/>
          <bgColor rgb="FF000000"/>
        </patternFill>
      </fill>
    </dxf>
    <dxf>
      <fill>
        <patternFill patternType="solid">
          <fgColor rgb="FFDBF0E1"/>
          <bgColor rgb="FF000000"/>
        </patternFill>
      </fill>
    </dxf>
    <dxf>
      <fill>
        <patternFill patternType="solid">
          <fgColor rgb="FFDDF1E2"/>
          <bgColor rgb="FF000000"/>
        </patternFill>
      </fill>
    </dxf>
    <dxf>
      <fill>
        <patternFill patternType="solid">
          <fgColor rgb="FFDDF1E3"/>
          <bgColor rgb="FF000000"/>
        </patternFill>
      </fill>
    </dxf>
    <dxf>
      <fill>
        <patternFill patternType="solid">
          <fgColor rgb="FFDEF1E3"/>
          <bgColor rgb="FF000000"/>
        </patternFill>
      </fill>
    </dxf>
    <dxf>
      <fill>
        <patternFill patternType="solid">
          <fgColor rgb="FFDEF2E3"/>
          <bgColor rgb="FF000000"/>
        </patternFill>
      </fill>
    </dxf>
    <dxf>
      <fill>
        <patternFill patternType="solid">
          <fgColor rgb="FFE0F3E5"/>
          <bgColor rgb="FF000000"/>
        </patternFill>
      </fill>
    </dxf>
    <dxf>
      <fill>
        <patternFill patternType="solid">
          <fgColor rgb="FFE1F3E6"/>
          <bgColor rgb="FF000000"/>
        </patternFill>
      </fill>
    </dxf>
    <dxf>
      <fill>
        <patternFill patternType="solid">
          <fgColor rgb="FFE2F3E6"/>
          <bgColor rgb="FF000000"/>
        </patternFill>
      </fill>
    </dxf>
    <dxf>
      <fill>
        <patternFill patternType="solid">
          <fgColor rgb="FFE2F3E7"/>
          <bgColor rgb="FF000000"/>
        </patternFill>
      </fill>
    </dxf>
    <dxf>
      <fill>
        <patternFill patternType="solid">
          <fgColor rgb="FFE3F4E7"/>
          <bgColor rgb="FF000000"/>
        </patternFill>
      </fill>
    </dxf>
    <dxf>
      <fill>
        <patternFill patternType="solid">
          <fgColor rgb="FFE4F4E8"/>
          <bgColor rgb="FF000000"/>
        </patternFill>
      </fill>
    </dxf>
    <dxf>
      <fill>
        <patternFill patternType="solid">
          <fgColor rgb="FFE5F4E9"/>
          <bgColor rgb="FF000000"/>
        </patternFill>
      </fill>
    </dxf>
    <dxf>
      <fill>
        <patternFill patternType="solid">
          <fgColor rgb="FFE6F5EA"/>
          <bgColor rgb="FF000000"/>
        </patternFill>
      </fill>
    </dxf>
    <dxf>
      <fill>
        <patternFill patternType="solid">
          <fgColor rgb="FFE8F6EC"/>
          <bgColor rgb="FF000000"/>
        </patternFill>
      </fill>
    </dxf>
    <dxf>
      <fill>
        <patternFill patternType="solid">
          <fgColor rgb="FFE9F6EC"/>
          <bgColor rgb="FF000000"/>
        </patternFill>
      </fill>
    </dxf>
    <dxf>
      <fill>
        <patternFill patternType="solid">
          <fgColor rgb="FFE9F6ED"/>
          <bgColor rgb="FF000000"/>
        </patternFill>
      </fill>
    </dxf>
    <dxf>
      <fill>
        <patternFill patternType="solid">
          <fgColor rgb="FFEAF6ED"/>
          <bgColor rgb="FF000000"/>
        </patternFill>
      </fill>
    </dxf>
    <dxf>
      <fill>
        <patternFill patternType="solid">
          <fgColor rgb="FFEAF7ED"/>
          <bgColor rgb="FF000000"/>
        </patternFill>
      </fill>
    </dxf>
    <dxf>
      <fill>
        <patternFill patternType="solid">
          <fgColor rgb="FFEBF7EE"/>
          <bgColor rgb="FF000000"/>
        </patternFill>
      </fill>
    </dxf>
    <dxf>
      <fill>
        <patternFill patternType="solid">
          <fgColor rgb="FFECF7EF"/>
          <bgColor rgb="FF000000"/>
        </patternFill>
      </fill>
    </dxf>
    <dxf>
      <fill>
        <patternFill patternType="solid">
          <fgColor rgb="FFECF8EF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EFF9F1"/>
          <bgColor rgb="FF000000"/>
        </patternFill>
      </fill>
    </dxf>
    <dxf>
      <fill>
        <patternFill patternType="solid">
          <fgColor rgb="FFF0F9F2"/>
          <bgColor rgb="FF000000"/>
        </patternFill>
      </fill>
    </dxf>
    <dxf>
      <fill>
        <patternFill patternType="solid">
          <fgColor rgb="FFF1F9F3"/>
          <bgColor rgb="FF000000"/>
        </patternFill>
      </fill>
    </dxf>
    <dxf>
      <fill>
        <patternFill patternType="solid">
          <fgColor rgb="FFF1FAF4"/>
          <bgColor rgb="FF000000"/>
        </patternFill>
      </fill>
    </dxf>
    <dxf>
      <fill>
        <patternFill patternType="solid">
          <fgColor rgb="FFF2FAF4"/>
          <bgColor rgb="FF000000"/>
        </patternFill>
      </fill>
    </dxf>
    <dxf>
      <fill>
        <patternFill patternType="solid">
          <fgColor rgb="FFF9FDFA"/>
          <bgColor rgb="FF000000"/>
        </patternFill>
      </fill>
    </dxf>
    <dxf>
      <fill>
        <patternFill patternType="solid">
          <fgColor rgb="FFFAFDFA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E3EC"/>
      <rgbColor rgb="FFCCFFFF"/>
      <rgbColor rgb="FF660066"/>
      <rgbColor rgb="FFFF8080"/>
      <rgbColor rgb="FF0066CC"/>
      <rgbColor rgb="FFE6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0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COUNTA(Produtos!A2:A110)</f>
        <v>109</v>
      </c>
    </row>
    <row r="6" customFormat="false" ht="15" hidden="false" customHeight="false" outlineLevel="0" collapsed="false">
      <c r="A6" s="4" t="s">
        <v>5</v>
      </c>
      <c r="B6" s="5" t="n">
        <f aca="false">COUNTIF(Produtos!T2:T110,"S")</f>
        <v>36</v>
      </c>
    </row>
    <row r="7" customFormat="false" ht="15" hidden="false" customHeight="false" outlineLevel="0" collapsed="false">
      <c r="A7" s="6" t="s">
        <v>6</v>
      </c>
      <c r="B7" s="7" t="n">
        <f aca="false">SUM(Produtos!Y2:Y110)</f>
        <v>3869.06</v>
      </c>
    </row>
    <row r="8" customFormat="false" ht="15" hidden="false" customHeight="false" outlineLevel="0" collapsed="false">
      <c r="A8" s="4" t="s">
        <v>7</v>
      </c>
      <c r="B8" s="5" t="n">
        <f aca="false">SUMPRODUCT((Produtos!T2:T110="S")*Produtos!F2:F110*Produtos!X2:X110)</f>
        <v>721</v>
      </c>
    </row>
    <row r="9" customFormat="false" ht="15" hidden="false" customHeight="false" outlineLevel="0" collapsed="false">
      <c r="A9" s="4" t="s">
        <v>8</v>
      </c>
      <c r="B9" s="7" t="n">
        <f aca="false">SUM(Produtos!V2:V110)</f>
        <v>10767.9</v>
      </c>
    </row>
    <row r="10" customFormat="false" ht="15" hidden="false" customHeight="false" outlineLevel="0" collapsed="false">
      <c r="A10" s="6" t="s">
        <v>9</v>
      </c>
      <c r="B10" s="7" t="n">
        <f aca="false">SUM(Produtos!W2:W110)</f>
        <v>5537.14995</v>
      </c>
    </row>
    <row r="11" customFormat="false" ht="15" hidden="false" customHeight="false" outlineLevel="0" collapsed="false">
      <c r="A11" s="4" t="s">
        <v>10</v>
      </c>
      <c r="B11" s="8" t="n">
        <f aca="false">IFERROR(B10/B7,"")</f>
        <v>1.43113571513494</v>
      </c>
    </row>
    <row r="12" customFormat="false" ht="15" hidden="false" customHeight="false" outlineLevel="0" collapsed="false">
      <c r="A12" s="4" t="s">
        <v>11</v>
      </c>
      <c r="B12" s="7" t="n">
        <f aca="false">Premissas!$B$12</f>
        <v>1000</v>
      </c>
    </row>
    <row r="15" customFormat="false" ht="15" hidden="false" customHeight="false" outlineLevel="0" collapsed="false">
      <c r="A15" s="9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 t="s">
        <v>14</v>
      </c>
    </row>
    <row r="18" customFormat="false" ht="15" hidden="false" customHeight="false" outlineLevel="0" collapsed="false">
      <c r="A18" s="4" t="s">
        <v>15</v>
      </c>
    </row>
    <row r="19" customFormat="false" ht="15" hidden="false" customHeight="false" outlineLevel="0" collapsed="false">
      <c r="A19" s="4" t="s">
        <v>16</v>
      </c>
    </row>
    <row r="20" customFormat="false" ht="15" hidden="false" customHeight="false" outlineLevel="0" collapsed="false">
      <c r="A20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3" t="s">
        <v>20</v>
      </c>
      <c r="B4" s="3" t="s">
        <v>3</v>
      </c>
      <c r="C4" s="3" t="s">
        <v>21</v>
      </c>
    </row>
    <row r="5" customFormat="false" ht="15" hidden="false" customHeight="false" outlineLevel="0" collapsed="false">
      <c r="A5" s="4" t="s">
        <v>22</v>
      </c>
      <c r="B5" s="10" t="n">
        <v>0.05</v>
      </c>
      <c r="C5" s="11" t="s">
        <v>23</v>
      </c>
    </row>
    <row r="6" customFormat="false" ht="15" hidden="false" customHeight="false" outlineLevel="0" collapsed="false">
      <c r="A6" s="4" t="s">
        <v>24</v>
      </c>
      <c r="B6" s="10" t="n">
        <v>0.01</v>
      </c>
      <c r="C6" s="11" t="s">
        <v>25</v>
      </c>
    </row>
    <row r="7" customFormat="false" ht="15" hidden="false" customHeight="false" outlineLevel="0" collapsed="false">
      <c r="A7" s="4" t="s">
        <v>26</v>
      </c>
      <c r="B7" s="12" t="n">
        <v>1</v>
      </c>
      <c r="C7" s="11" t="s">
        <v>27</v>
      </c>
    </row>
    <row r="8" customFormat="false" ht="15" hidden="false" customHeight="false" outlineLevel="0" collapsed="false">
      <c r="A8" s="4" t="s">
        <v>28</v>
      </c>
      <c r="B8" s="10" t="n">
        <v>0.12</v>
      </c>
      <c r="C8" s="11" t="s">
        <v>29</v>
      </c>
    </row>
    <row r="9" customFormat="false" ht="15" hidden="false" customHeight="false" outlineLevel="0" collapsed="false">
      <c r="A9" s="4" t="s">
        <v>30</v>
      </c>
      <c r="B9" s="12" t="n">
        <v>6.25</v>
      </c>
      <c r="C9" s="11" t="s">
        <v>31</v>
      </c>
    </row>
    <row r="10" customFormat="false" ht="15" hidden="false" customHeight="false" outlineLevel="0" collapsed="false">
      <c r="A10" s="4" t="s">
        <v>32</v>
      </c>
      <c r="B10" s="10" t="n">
        <v>0.2</v>
      </c>
      <c r="C10" s="11" t="s">
        <v>31</v>
      </c>
    </row>
    <row r="11" customFormat="false" ht="15" hidden="false" customHeight="false" outlineLevel="0" collapsed="false">
      <c r="A11" s="4" t="s">
        <v>33</v>
      </c>
      <c r="B11" s="12" t="n">
        <v>4</v>
      </c>
      <c r="C11" s="11" t="s">
        <v>31</v>
      </c>
    </row>
    <row r="12" customFormat="false" ht="15" hidden="false" customHeight="false" outlineLevel="0" collapsed="false">
      <c r="A12" s="4" t="s">
        <v>34</v>
      </c>
      <c r="B12" s="12" t="n">
        <v>1000</v>
      </c>
      <c r="C12" s="1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13" min="8" style="0" width="12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26"/>
    <col collapsed="false" customWidth="true" hidden="false" outlineLevel="0" max="20" min="20" style="0" width="11"/>
    <col collapsed="false" customWidth="true" hidden="false" outlineLevel="0" max="21" min="21" style="0" width="44"/>
    <col collapsed="false" customWidth="true" hidden="false" outlineLevel="0" max="23" min="22" style="0" width="14"/>
    <col collapsed="false" customWidth="true" hidden="false" outlineLevel="0" max="24" min="24" style="0" width="13"/>
    <col collapsed="false" customWidth="true" hidden="false" outlineLevel="0" max="25" min="25" style="0" width="14"/>
  </cols>
  <sheetData>
    <row r="1" customFormat="false" ht="42" hidden="false" customHeight="true" outlineLevel="0" collapsed="false">
      <c r="A1" s="13" t="s">
        <v>36</v>
      </c>
      <c r="B1" s="13" t="s">
        <v>37</v>
      </c>
      <c r="C1" s="13" t="s">
        <v>38</v>
      </c>
      <c r="D1" s="13" t="s">
        <v>39</v>
      </c>
      <c r="E1" s="13" t="s">
        <v>40</v>
      </c>
      <c r="F1" s="13" t="s">
        <v>41</v>
      </c>
      <c r="G1" s="13" t="s">
        <v>42</v>
      </c>
      <c r="H1" s="13" t="s">
        <v>43</v>
      </c>
      <c r="I1" s="13" t="s">
        <v>44</v>
      </c>
      <c r="J1" s="13" t="s">
        <v>45</v>
      </c>
      <c r="K1" s="13" t="s">
        <v>46</v>
      </c>
      <c r="L1" s="13" t="s">
        <v>47</v>
      </c>
      <c r="M1" s="13" t="s">
        <v>48</v>
      </c>
      <c r="N1" s="13" t="s">
        <v>49</v>
      </c>
      <c r="O1" s="13" t="s">
        <v>50</v>
      </c>
      <c r="P1" s="13" t="s">
        <v>51</v>
      </c>
      <c r="Q1" s="13" t="s">
        <v>52</v>
      </c>
      <c r="R1" s="13" t="s">
        <v>53</v>
      </c>
      <c r="S1" s="13" t="s">
        <v>54</v>
      </c>
      <c r="T1" s="13" t="s">
        <v>55</v>
      </c>
      <c r="U1" s="13" t="s">
        <v>21</v>
      </c>
      <c r="V1" s="13" t="s">
        <v>56</v>
      </c>
      <c r="W1" s="13" t="s">
        <v>57</v>
      </c>
      <c r="X1" s="13" t="s">
        <v>58</v>
      </c>
      <c r="Y1" s="13" t="s">
        <v>59</v>
      </c>
    </row>
    <row r="2" customFormat="false" ht="15" hidden="false" customHeight="false" outlineLevel="0" collapsed="false">
      <c r="A2" s="14" t="s">
        <v>60</v>
      </c>
      <c r="B2" s="15" t="s">
        <v>61</v>
      </c>
      <c r="C2" s="14" t="s">
        <v>62</v>
      </c>
      <c r="D2" s="14" t="s">
        <v>63</v>
      </c>
      <c r="E2" s="14" t="n">
        <v>1</v>
      </c>
      <c r="F2" s="16" t="n">
        <v>24</v>
      </c>
      <c r="G2" s="17" t="n">
        <v>156.5</v>
      </c>
      <c r="H2" s="18" t="n">
        <f aca="false">IF(ISNUMBER(G2),IFERROR(G2/F2,""),"")</f>
        <v>6.52083333333333</v>
      </c>
      <c r="I2" s="17" t="n">
        <v>14.99</v>
      </c>
      <c r="J2" s="17" t="n">
        <v>14.99</v>
      </c>
      <c r="K2" s="19" t="s">
        <v>64</v>
      </c>
      <c r="L2" s="20" t="n">
        <v>14.9</v>
      </c>
      <c r="M2" s="18" t="n">
        <f aca="false">IFERROR(L2*(1-Premissas!$B$5)*(1-Premissas!$B$6)-H2-Premissas!$B$7,"")</f>
        <v>6.49261666666667</v>
      </c>
      <c r="N2" s="21" t="n">
        <f aca="false">IFERROR(M2/L2,"")</f>
        <v>0.435746085011186</v>
      </c>
      <c r="O2" s="18" t="n">
        <f aca="false">IFERROR(L2*(1-Premissas!$B$8)-Premissas!$B$9-H2-Premissas!$B$7,"")</f>
        <v>-0.658833333333333</v>
      </c>
      <c r="P2" s="18" t="n">
        <f aca="false">IFERROR(L2*(1-Premissas!$B$10)-Premissas!$B$11-H2-Premissas!$B$7,"")</f>
        <v>0.399166666666669</v>
      </c>
      <c r="Q2" s="18" t="n">
        <f aca="false">IFERROR(M2*F2,"")</f>
        <v>155.8228</v>
      </c>
      <c r="R2" s="22" t="n">
        <f aca="false">IFERROR(IF(M2&gt;0,ROUNDUP(Premissas!$B$12/M2,0),"sem lucro"),"")</f>
        <v>155</v>
      </c>
      <c r="S2" s="15" t="s">
        <v>65</v>
      </c>
      <c r="T2" s="23" t="s">
        <v>66</v>
      </c>
      <c r="U2" s="15" t="s">
        <v>67</v>
      </c>
      <c r="V2" s="18" t="n">
        <f aca="false">IF(AND(T2="S",ISNUMBER(L2),ISNUMBER(F2)),L2*F2*X2,0)</f>
        <v>357.6</v>
      </c>
      <c r="W2" s="18" t="n">
        <f aca="false">IF(AND(T2="S",ISNUMBER(Q2)),Q2*X2,0)</f>
        <v>155.8228</v>
      </c>
      <c r="X2" s="23" t="n">
        <v>1</v>
      </c>
      <c r="Y2" s="18" t="n">
        <f aca="false">IF(AND(T2="S",ISNUMBER(G2)),G2*X2,0)</f>
        <v>156.5</v>
      </c>
    </row>
    <row r="3" customFormat="false" ht="15" hidden="false" customHeight="false" outlineLevel="0" collapsed="false">
      <c r="A3" s="14" t="s">
        <v>68</v>
      </c>
      <c r="B3" s="15" t="s">
        <v>69</v>
      </c>
      <c r="C3" s="14" t="s">
        <v>70</v>
      </c>
      <c r="D3" s="14" t="s">
        <v>63</v>
      </c>
      <c r="E3" s="14" t="n">
        <v>1</v>
      </c>
      <c r="F3" s="16" t="n">
        <v>24</v>
      </c>
      <c r="G3" s="17" t="n">
        <v>161.7</v>
      </c>
      <c r="H3" s="18" t="n">
        <f aca="false">IF(ISNUMBER(G3),IFERROR(G3/F3,""),"")</f>
        <v>6.7375</v>
      </c>
      <c r="I3" s="17" t="n">
        <v>12</v>
      </c>
      <c r="J3" s="17" t="n">
        <v>15.9</v>
      </c>
      <c r="K3" s="19" t="s">
        <v>64</v>
      </c>
      <c r="L3" s="20" t="n">
        <v>14.9</v>
      </c>
      <c r="M3" s="18" t="n">
        <f aca="false">IFERROR(L3*(1-Premissas!$B$5)*(1-Premissas!$B$6)-H3-Premissas!$B$7,"")</f>
        <v>6.27595</v>
      </c>
      <c r="N3" s="21" t="n">
        <f aca="false">IFERROR(M3/L3,"")</f>
        <v>0.421204697986577</v>
      </c>
      <c r="O3" s="18" t="n">
        <f aca="false">IFERROR(L3*(1-Premissas!$B$8)-Premissas!$B$9-H3-Premissas!$B$7,"")</f>
        <v>-0.8755</v>
      </c>
      <c r="P3" s="18" t="n">
        <f aca="false">IFERROR(L3*(1-Premissas!$B$10)-Premissas!$B$11-H3-Premissas!$B$7,"")</f>
        <v>0.182500000000002</v>
      </c>
      <c r="Q3" s="18" t="n">
        <f aca="false">IFERROR(M3*F3,"")</f>
        <v>150.6228</v>
      </c>
      <c r="R3" s="22" t="n">
        <f aca="false">IFERROR(IF(M3&gt;0,ROUNDUP(Premissas!$B$12/M3,0),"sem lucro"),"")</f>
        <v>160</v>
      </c>
      <c r="S3" s="15" t="s">
        <v>71</v>
      </c>
      <c r="T3" s="23" t="s">
        <v>66</v>
      </c>
      <c r="U3" s="15" t="s">
        <v>72</v>
      </c>
      <c r="V3" s="18" t="n">
        <f aca="false">IF(AND(T3="S",ISNUMBER(L3),ISNUMBER(F3)),L3*F3*X3,0)</f>
        <v>357.6</v>
      </c>
      <c r="W3" s="18" t="n">
        <f aca="false">IF(AND(T3="S",ISNUMBER(Q3)),Q3*X3,0)</f>
        <v>150.6228</v>
      </c>
      <c r="X3" s="23" t="n">
        <v>1</v>
      </c>
      <c r="Y3" s="18" t="n">
        <f aca="false">IF(AND(T3="S",ISNUMBER(G3)),G3*X3,0)</f>
        <v>161.7</v>
      </c>
    </row>
    <row r="4" customFormat="false" ht="15" hidden="false" customHeight="false" outlineLevel="0" collapsed="false">
      <c r="A4" s="14" t="s">
        <v>73</v>
      </c>
      <c r="B4" s="15" t="s">
        <v>74</v>
      </c>
      <c r="C4" s="14" t="s">
        <v>70</v>
      </c>
      <c r="D4" s="14" t="s">
        <v>63</v>
      </c>
      <c r="E4" s="14" t="n">
        <v>1</v>
      </c>
      <c r="F4" s="16" t="n">
        <v>24</v>
      </c>
      <c r="G4" s="17"/>
      <c r="H4" s="18" t="str">
        <f aca="false">IF(ISNUMBER(G4),IFERROR(G4/F4,""),"")</f>
        <v/>
      </c>
      <c r="I4" s="17" t="n">
        <v>12</v>
      </c>
      <c r="J4" s="17" t="n">
        <v>15.9</v>
      </c>
      <c r="K4" s="19" t="s">
        <v>64</v>
      </c>
      <c r="L4" s="20" t="n">
        <v>14.9</v>
      </c>
      <c r="M4" s="18" t="str">
        <f aca="false">IFERROR(L4*(1-Premissas!$B$5)*(1-Premissas!$B$6)-H4-Premissas!$B$7,"")</f>
        <v/>
      </c>
      <c r="N4" s="21" t="str">
        <f aca="false">IFERROR(M4/L4,"")</f>
        <v/>
      </c>
      <c r="O4" s="18" t="str">
        <f aca="false">IFERROR(L4*(1-Premissas!$B$8)-Premissas!$B$9-H4-Premissas!$B$7,"")</f>
        <v/>
      </c>
      <c r="P4" s="18" t="str">
        <f aca="false">IFERROR(L4*(1-Premissas!$B$10)-Premissas!$B$11-H4-Premissas!$B$7,"")</f>
        <v/>
      </c>
      <c r="Q4" s="18" t="str">
        <f aca="false">IFERROR(M4*F4,"")</f>
        <v/>
      </c>
      <c r="R4" s="22" t="str">
        <f aca="false">IFERROR(IF(M4&gt;0,ROUNDUP(Premissas!$B$12/M4,0),"sem lucro"),"")</f>
        <v/>
      </c>
      <c r="S4" s="15" t="s">
        <v>75</v>
      </c>
      <c r="T4" s="23" t="s">
        <v>76</v>
      </c>
      <c r="U4" s="15" t="s">
        <v>77</v>
      </c>
      <c r="V4" s="18" t="n">
        <f aca="false">IF(AND(T4="S",ISNUMBER(L4),ISNUMBER(F4)),L4*F4*X4,0)</f>
        <v>0</v>
      </c>
      <c r="W4" s="18" t="n">
        <f aca="false">IF(AND(T4="S",ISNUMBER(Q4)),Q4*X4,0)</f>
        <v>0</v>
      </c>
      <c r="X4" s="23" t="n">
        <v>1</v>
      </c>
      <c r="Y4" s="18" t="n">
        <f aca="false">IF(AND(T4="S",ISNUMBER(G4)),G4*X4,0)</f>
        <v>0</v>
      </c>
    </row>
    <row r="5" customFormat="false" ht="15" hidden="false" customHeight="false" outlineLevel="0" collapsed="false">
      <c r="A5" s="14" t="s">
        <v>78</v>
      </c>
      <c r="B5" s="15" t="s">
        <v>79</v>
      </c>
      <c r="C5" s="14" t="s">
        <v>70</v>
      </c>
      <c r="D5" s="14" t="s">
        <v>63</v>
      </c>
      <c r="E5" s="14" t="n">
        <v>1</v>
      </c>
      <c r="F5" s="16" t="n">
        <v>24</v>
      </c>
      <c r="G5" s="17"/>
      <c r="H5" s="18" t="str">
        <f aca="false">IF(ISNUMBER(G5),IFERROR(G5/F5,""),"")</f>
        <v/>
      </c>
      <c r="I5" s="17"/>
      <c r="J5" s="17"/>
      <c r="K5" s="19" t="s">
        <v>64</v>
      </c>
      <c r="L5" s="20"/>
      <c r="M5" s="18" t="str">
        <f aca="false">IFERROR(L5*(1-Premissas!$B$5)*(1-Premissas!$B$6)-H5-Premissas!$B$7,"")</f>
        <v/>
      </c>
      <c r="N5" s="21" t="str">
        <f aca="false">IFERROR(M5/L5,"")</f>
        <v/>
      </c>
      <c r="O5" s="18" t="str">
        <f aca="false">IFERROR(L5*(1-Premissas!$B$8)-Premissas!$B$9-H5-Premissas!$B$7,"")</f>
        <v/>
      </c>
      <c r="P5" s="18" t="str">
        <f aca="false">IFERROR(L5*(1-Premissas!$B$10)-Premissas!$B$11-H5-Premissas!$B$7,"")</f>
        <v/>
      </c>
      <c r="Q5" s="18" t="str">
        <f aca="false">IFERROR(M5*F5,"")</f>
        <v/>
      </c>
      <c r="R5" s="22" t="str">
        <f aca="false">IFERROR(IF(M5&gt;0,ROUNDUP(Premissas!$B$12/M5,0),"sem lucro"),"")</f>
        <v/>
      </c>
      <c r="S5" s="15" t="s">
        <v>75</v>
      </c>
      <c r="T5" s="23" t="s">
        <v>76</v>
      </c>
      <c r="U5" s="15" t="s">
        <v>77</v>
      </c>
      <c r="V5" s="18" t="n">
        <f aca="false">IF(AND(T5="S",ISNUMBER(L5),ISNUMBER(F5)),L5*F5*X5,0)</f>
        <v>0</v>
      </c>
      <c r="W5" s="18" t="n">
        <f aca="false">IF(AND(T5="S",ISNUMBER(Q5)),Q5*X5,0)</f>
        <v>0</v>
      </c>
      <c r="X5" s="23" t="n">
        <v>1</v>
      </c>
      <c r="Y5" s="18" t="n">
        <f aca="false">IF(AND(T5="S",ISNUMBER(G5)),G5*X5,0)</f>
        <v>0</v>
      </c>
    </row>
    <row r="6" customFormat="false" ht="15" hidden="false" customHeight="false" outlineLevel="0" collapsed="false">
      <c r="A6" s="14" t="s">
        <v>80</v>
      </c>
      <c r="B6" s="15" t="s">
        <v>81</v>
      </c>
      <c r="C6" s="14" t="s">
        <v>70</v>
      </c>
      <c r="D6" s="14" t="s">
        <v>63</v>
      </c>
      <c r="E6" s="14" t="n">
        <v>1</v>
      </c>
      <c r="F6" s="16" t="n">
        <v>24</v>
      </c>
      <c r="G6" s="17" t="n">
        <v>161.7</v>
      </c>
      <c r="H6" s="18" t="n">
        <f aca="false">IF(ISNUMBER(G6),IFERROR(G6/F6,""),"")</f>
        <v>6.7375</v>
      </c>
      <c r="I6" s="17" t="n">
        <v>12</v>
      </c>
      <c r="J6" s="17" t="n">
        <v>15.9</v>
      </c>
      <c r="K6" s="19" t="s">
        <v>64</v>
      </c>
      <c r="L6" s="20" t="n">
        <v>14.9</v>
      </c>
      <c r="M6" s="18" t="n">
        <f aca="false">IFERROR(L6*(1-Premissas!$B$5)*(1-Premissas!$B$6)-H6-Premissas!$B$7,"")</f>
        <v>6.27595</v>
      </c>
      <c r="N6" s="21" t="n">
        <f aca="false">IFERROR(M6/L6,"")</f>
        <v>0.421204697986577</v>
      </c>
      <c r="O6" s="18" t="n">
        <f aca="false">IFERROR(L6*(1-Premissas!$B$8)-Premissas!$B$9-H6-Premissas!$B$7,"")</f>
        <v>-0.8755</v>
      </c>
      <c r="P6" s="18" t="n">
        <f aca="false">IFERROR(L6*(1-Premissas!$B$10)-Premissas!$B$11-H6-Premissas!$B$7,"")</f>
        <v>0.182500000000002</v>
      </c>
      <c r="Q6" s="18" t="n">
        <f aca="false">IFERROR(M6*F6,"")</f>
        <v>150.6228</v>
      </c>
      <c r="R6" s="22" t="n">
        <f aca="false">IFERROR(IF(M6&gt;0,ROUNDUP(Premissas!$B$12/M6,0),"sem lucro"),"")</f>
        <v>160</v>
      </c>
      <c r="S6" s="15" t="s">
        <v>82</v>
      </c>
      <c r="T6" s="23" t="s">
        <v>76</v>
      </c>
      <c r="U6" s="15"/>
      <c r="V6" s="18" t="n">
        <f aca="false">IF(AND(T6="S",ISNUMBER(L6),ISNUMBER(F6)),L6*F6*X6,0)</f>
        <v>0</v>
      </c>
      <c r="W6" s="18" t="n">
        <f aca="false">IF(AND(T6="S",ISNUMBER(Q6)),Q6*X6,0)</f>
        <v>0</v>
      </c>
      <c r="X6" s="23" t="n">
        <v>1</v>
      </c>
      <c r="Y6" s="18" t="n">
        <f aca="false">IF(AND(T6="S",ISNUMBER(G6)),G6*X6,0)</f>
        <v>0</v>
      </c>
    </row>
    <row r="7" customFormat="false" ht="15" hidden="false" customHeight="false" outlineLevel="0" collapsed="false">
      <c r="A7" s="14" t="s">
        <v>83</v>
      </c>
      <c r="B7" s="15" t="s">
        <v>84</v>
      </c>
      <c r="C7" s="14" t="s">
        <v>70</v>
      </c>
      <c r="D7" s="14" t="s">
        <v>63</v>
      </c>
      <c r="E7" s="14" t="n">
        <v>1</v>
      </c>
      <c r="F7" s="16" t="n">
        <v>24</v>
      </c>
      <c r="G7" s="17" t="n">
        <v>161.7</v>
      </c>
      <c r="H7" s="18" t="n">
        <f aca="false">IF(ISNUMBER(G7),IFERROR(G7/F7,""),"")</f>
        <v>6.7375</v>
      </c>
      <c r="I7" s="17" t="n">
        <v>12</v>
      </c>
      <c r="J7" s="17" t="n">
        <v>15.9</v>
      </c>
      <c r="K7" s="19" t="s">
        <v>64</v>
      </c>
      <c r="L7" s="20" t="n">
        <v>14.9</v>
      </c>
      <c r="M7" s="18" t="n">
        <f aca="false">IFERROR(L7*(1-Premissas!$B$5)*(1-Premissas!$B$6)-H7-Premissas!$B$7,"")</f>
        <v>6.27595</v>
      </c>
      <c r="N7" s="21" t="n">
        <f aca="false">IFERROR(M7/L7,"")</f>
        <v>0.421204697986577</v>
      </c>
      <c r="O7" s="18" t="n">
        <f aca="false">IFERROR(L7*(1-Premissas!$B$8)-Premissas!$B$9-H7-Premissas!$B$7,"")</f>
        <v>-0.8755</v>
      </c>
      <c r="P7" s="18" t="n">
        <f aca="false">IFERROR(L7*(1-Premissas!$B$10)-Premissas!$B$11-H7-Premissas!$B$7,"")</f>
        <v>0.182500000000002</v>
      </c>
      <c r="Q7" s="18" t="n">
        <f aca="false">IFERROR(M7*F7,"")</f>
        <v>150.6228</v>
      </c>
      <c r="R7" s="22" t="n">
        <f aca="false">IFERROR(IF(M7&gt;0,ROUNDUP(Premissas!$B$12/M7,0),"sem lucro"),"")</f>
        <v>160</v>
      </c>
      <c r="S7" s="15" t="s">
        <v>71</v>
      </c>
      <c r="T7" s="23" t="s">
        <v>66</v>
      </c>
      <c r="U7" s="15"/>
      <c r="V7" s="18" t="n">
        <f aca="false">IF(AND(T7="S",ISNUMBER(L7),ISNUMBER(F7)),L7*F7*X7,0)</f>
        <v>357.6</v>
      </c>
      <c r="W7" s="18" t="n">
        <f aca="false">IF(AND(T7="S",ISNUMBER(Q7)),Q7*X7,0)</f>
        <v>150.6228</v>
      </c>
      <c r="X7" s="23" t="n">
        <v>1</v>
      </c>
      <c r="Y7" s="18" t="n">
        <f aca="false">IF(AND(T7="S",ISNUMBER(G7)),G7*X7,0)</f>
        <v>161.7</v>
      </c>
    </row>
    <row r="8" customFormat="false" ht="15" hidden="false" customHeight="false" outlineLevel="0" collapsed="false">
      <c r="A8" s="14" t="s">
        <v>85</v>
      </c>
      <c r="B8" s="15" t="s">
        <v>86</v>
      </c>
      <c r="C8" s="14" t="s">
        <v>70</v>
      </c>
      <c r="D8" s="14" t="s">
        <v>63</v>
      </c>
      <c r="E8" s="14" t="n">
        <v>1</v>
      </c>
      <c r="F8" s="16" t="n">
        <v>24</v>
      </c>
      <c r="G8" s="17" t="n">
        <v>163.7</v>
      </c>
      <c r="H8" s="18" t="n">
        <f aca="false">IF(ISNUMBER(G8),IFERROR(G8/F8,""),"")</f>
        <v>6.82083333333333</v>
      </c>
      <c r="I8" s="17" t="n">
        <v>15.9</v>
      </c>
      <c r="J8" s="17" t="n">
        <v>15.9</v>
      </c>
      <c r="K8" s="19" t="s">
        <v>64</v>
      </c>
      <c r="L8" s="20" t="n">
        <v>14.9</v>
      </c>
      <c r="M8" s="18" t="n">
        <f aca="false">IFERROR(L8*(1-Premissas!$B$5)*(1-Premissas!$B$6)-H8-Premissas!$B$7,"")</f>
        <v>6.19261666666667</v>
      </c>
      <c r="N8" s="21" t="n">
        <f aca="false">IFERROR(M8/L8,"")</f>
        <v>0.415611856823266</v>
      </c>
      <c r="O8" s="18" t="n">
        <f aca="false">IFERROR(L8*(1-Premissas!$B$8)-Premissas!$B$9-H8-Premissas!$B$7,"")</f>
        <v>-0.958833333333333</v>
      </c>
      <c r="P8" s="18" t="n">
        <f aca="false">IFERROR(L8*(1-Premissas!$B$10)-Premissas!$B$11-H8-Premissas!$B$7,"")</f>
        <v>0.0991666666666689</v>
      </c>
      <c r="Q8" s="18" t="n">
        <f aca="false">IFERROR(M8*F8,"")</f>
        <v>148.6228</v>
      </c>
      <c r="R8" s="22" t="n">
        <f aca="false">IFERROR(IF(M8&gt;0,ROUNDUP(Premissas!$B$12/M8,0),"sem lucro"),"")</f>
        <v>162</v>
      </c>
      <c r="S8" s="15" t="s">
        <v>71</v>
      </c>
      <c r="T8" s="23" t="s">
        <v>66</v>
      </c>
      <c r="U8" s="15"/>
      <c r="V8" s="18" t="n">
        <f aca="false">IF(AND(T8="S",ISNUMBER(L8),ISNUMBER(F8)),L8*F8*X8,0)</f>
        <v>357.6</v>
      </c>
      <c r="W8" s="18" t="n">
        <f aca="false">IF(AND(T8="S",ISNUMBER(Q8)),Q8*X8,0)</f>
        <v>148.6228</v>
      </c>
      <c r="X8" s="23" t="n">
        <v>1</v>
      </c>
      <c r="Y8" s="18" t="n">
        <f aca="false">IF(AND(T8="S",ISNUMBER(G8)),G8*X8,0)</f>
        <v>163.7</v>
      </c>
    </row>
    <row r="9" customFormat="false" ht="26.85" hidden="false" customHeight="false" outlineLevel="0" collapsed="false">
      <c r="A9" s="14" t="s">
        <v>87</v>
      </c>
      <c r="B9" s="15" t="s">
        <v>88</v>
      </c>
      <c r="C9" s="14" t="s">
        <v>70</v>
      </c>
      <c r="D9" s="14" t="s">
        <v>63</v>
      </c>
      <c r="E9" s="14" t="n">
        <v>1</v>
      </c>
      <c r="F9" s="16" t="n">
        <v>1</v>
      </c>
      <c r="G9" s="17" t="n">
        <v>5.7</v>
      </c>
      <c r="H9" s="18" t="n">
        <f aca="false">IF(ISNUMBER(G9),IFERROR(G9/F9,""),"")</f>
        <v>5.7</v>
      </c>
      <c r="I9" s="17" t="n">
        <v>7.9</v>
      </c>
      <c r="J9" s="17" t="n">
        <v>10</v>
      </c>
      <c r="K9" s="19" t="s">
        <v>64</v>
      </c>
      <c r="L9" s="20" t="n">
        <v>11.9</v>
      </c>
      <c r="M9" s="18" t="n">
        <f aca="false">IFERROR(L9*(1-Premissas!$B$5)*(1-Premissas!$B$6)-H9-Premissas!$B$7,"")</f>
        <v>4.49195</v>
      </c>
      <c r="N9" s="21" t="n">
        <f aca="false">IFERROR(M9/L9,"")</f>
        <v>0.377474789915966</v>
      </c>
      <c r="O9" s="18" t="n">
        <f aca="false">IFERROR(L9*(1-Premissas!$B$8)-Premissas!$B$9-H9-Premissas!$B$7,"")</f>
        <v>-2.478</v>
      </c>
      <c r="P9" s="18" t="n">
        <f aca="false">IFERROR(L9*(1-Premissas!$B$10)-Premissas!$B$11-H9-Premissas!$B$7,"")</f>
        <v>-1.18</v>
      </c>
      <c r="Q9" s="18" t="n">
        <f aca="false">IFERROR(M9*F9,"")</f>
        <v>4.49195</v>
      </c>
      <c r="R9" s="22" t="n">
        <f aca="false">IFERROR(IF(M9&gt;0,ROUNDUP(Premissas!$B$12/M9,0),"sem lucro"),"")</f>
        <v>223</v>
      </c>
      <c r="S9" s="15" t="s">
        <v>75</v>
      </c>
      <c r="T9" s="23" t="s">
        <v>76</v>
      </c>
      <c r="U9" s="15" t="s">
        <v>89</v>
      </c>
      <c r="V9" s="18" t="n">
        <f aca="false">IF(AND(T9="S",ISNUMBER(L9),ISNUMBER(F9)),L9*F9*X9,0)</f>
        <v>0</v>
      </c>
      <c r="W9" s="18" t="n">
        <f aca="false">IF(AND(T9="S",ISNUMBER(Q9)),Q9*X9,0)</f>
        <v>0</v>
      </c>
      <c r="X9" s="23" t="n">
        <v>12</v>
      </c>
      <c r="Y9" s="18" t="n">
        <f aca="false">IF(AND(T9="S",ISNUMBER(G9)),G9*X9,0)</f>
        <v>0</v>
      </c>
    </row>
    <row r="10" customFormat="false" ht="15" hidden="false" customHeight="false" outlineLevel="0" collapsed="false">
      <c r="A10" s="14" t="s">
        <v>90</v>
      </c>
      <c r="B10" s="15" t="s">
        <v>91</v>
      </c>
      <c r="C10" s="14" t="s">
        <v>70</v>
      </c>
      <c r="D10" s="14" t="s">
        <v>92</v>
      </c>
      <c r="E10" s="14" t="n">
        <v>1</v>
      </c>
      <c r="F10" s="16" t="n">
        <v>1</v>
      </c>
      <c r="G10" s="17" t="n">
        <v>5.7</v>
      </c>
      <c r="H10" s="18" t="n">
        <f aca="false">IF(ISNUMBER(G10),IFERROR(G10/F10,""),"")</f>
        <v>5.7</v>
      </c>
      <c r="I10" s="17" t="n">
        <v>9.99</v>
      </c>
      <c r="J10" s="17" t="n">
        <v>12</v>
      </c>
      <c r="K10" s="14" t="s">
        <v>93</v>
      </c>
      <c r="L10" s="20" t="n">
        <v>12.9</v>
      </c>
      <c r="M10" s="18" t="n">
        <f aca="false">IFERROR(L10*(1-Premissas!$B$5)*(1-Premissas!$B$6)-H10-Premissas!$B$7,"")</f>
        <v>5.43245</v>
      </c>
      <c r="N10" s="21" t="n">
        <f aca="false">IFERROR(M10/L10,"")</f>
        <v>0.42112015503876</v>
      </c>
      <c r="O10" s="18" t="n">
        <f aca="false">IFERROR(L10*(1-Premissas!$B$8)-Premissas!$B$9-H10-Premissas!$B$7,"")</f>
        <v>-1.598</v>
      </c>
      <c r="P10" s="18" t="n">
        <f aca="false">IFERROR(L10*(1-Premissas!$B$10)-Premissas!$B$11-H10-Premissas!$B$7,"")</f>
        <v>-0.38</v>
      </c>
      <c r="Q10" s="18" t="n">
        <f aca="false">IFERROR(M10*F10,"")</f>
        <v>5.43245</v>
      </c>
      <c r="R10" s="22" t="n">
        <f aca="false">IFERROR(IF(M10&gt;0,ROUNDUP(Premissas!$B$12/M10,0),"sem lucro"),"")</f>
        <v>185</v>
      </c>
      <c r="S10" s="15" t="s">
        <v>65</v>
      </c>
      <c r="T10" s="23" t="s">
        <v>66</v>
      </c>
      <c r="U10" s="15"/>
      <c r="V10" s="18" t="n">
        <f aca="false">IF(AND(T10="S",ISNUMBER(L10),ISNUMBER(F10)),L10*F10*X10,0)</f>
        <v>154.8</v>
      </c>
      <c r="W10" s="18" t="n">
        <f aca="false">IF(AND(T10="S",ISNUMBER(Q10)),Q10*X10,0)</f>
        <v>65.1894</v>
      </c>
      <c r="X10" s="23" t="n">
        <v>12</v>
      </c>
      <c r="Y10" s="18" t="n">
        <f aca="false">IF(AND(T10="S",ISNUMBER(G10)),G10*X10,0)</f>
        <v>68.4</v>
      </c>
    </row>
    <row r="11" customFormat="false" ht="15" hidden="false" customHeight="false" outlineLevel="0" collapsed="false">
      <c r="A11" s="14" t="s">
        <v>94</v>
      </c>
      <c r="B11" s="15" t="s">
        <v>95</v>
      </c>
      <c r="C11" s="14" t="s">
        <v>70</v>
      </c>
      <c r="D11" s="14" t="s">
        <v>92</v>
      </c>
      <c r="E11" s="14" t="n">
        <v>1</v>
      </c>
      <c r="F11" s="16" t="n">
        <v>1</v>
      </c>
      <c r="G11" s="17" t="n">
        <v>5.7</v>
      </c>
      <c r="H11" s="18" t="n">
        <f aca="false">IF(ISNUMBER(G11),IFERROR(G11/F11,""),"")</f>
        <v>5.7</v>
      </c>
      <c r="I11" s="17" t="n">
        <v>12.9</v>
      </c>
      <c r="J11" s="17" t="n">
        <v>16.99</v>
      </c>
      <c r="K11" s="14" t="s">
        <v>93</v>
      </c>
      <c r="L11" s="20" t="n">
        <v>14.9</v>
      </c>
      <c r="M11" s="18" t="n">
        <f aca="false">IFERROR(L11*(1-Premissas!$B$5)*(1-Premissas!$B$6)-H11-Premissas!$B$7,"")</f>
        <v>7.31345</v>
      </c>
      <c r="N11" s="21" t="n">
        <f aca="false">IFERROR(M11/L11,"")</f>
        <v>0.490835570469799</v>
      </c>
      <c r="O11" s="18" t="n">
        <f aca="false">IFERROR(L11*(1-Premissas!$B$8)-Premissas!$B$9-H11-Premissas!$B$7,"")</f>
        <v>0.162</v>
      </c>
      <c r="P11" s="18" t="n">
        <f aca="false">IFERROR(L11*(1-Premissas!$B$10)-Premissas!$B$11-H11-Premissas!$B$7,"")</f>
        <v>1.22</v>
      </c>
      <c r="Q11" s="18" t="n">
        <f aca="false">IFERROR(M11*F11,"")</f>
        <v>7.31345</v>
      </c>
      <c r="R11" s="22" t="n">
        <f aca="false">IFERROR(IF(M11&gt;0,ROUNDUP(Premissas!$B$12/M11,0),"sem lucro"),"")</f>
        <v>137</v>
      </c>
      <c r="S11" s="15" t="s">
        <v>65</v>
      </c>
      <c r="T11" s="23" t="s">
        <v>66</v>
      </c>
      <c r="U11" s="15"/>
      <c r="V11" s="18" t="n">
        <f aca="false">IF(AND(T11="S",ISNUMBER(L11),ISNUMBER(F11)),L11*F11*X11,0)</f>
        <v>178.8</v>
      </c>
      <c r="W11" s="18" t="n">
        <f aca="false">IF(AND(T11="S",ISNUMBER(Q11)),Q11*X11,0)</f>
        <v>87.7614</v>
      </c>
      <c r="X11" s="23" t="n">
        <v>12</v>
      </c>
      <c r="Y11" s="18" t="n">
        <f aca="false">IF(AND(T11="S",ISNUMBER(G11)),G11*X11,0)</f>
        <v>68.4</v>
      </c>
    </row>
    <row r="12" customFormat="false" ht="15" hidden="false" customHeight="false" outlineLevel="0" collapsed="false">
      <c r="A12" s="14" t="s">
        <v>96</v>
      </c>
      <c r="B12" s="15" t="s">
        <v>97</v>
      </c>
      <c r="C12" s="14" t="s">
        <v>70</v>
      </c>
      <c r="D12" s="14" t="s">
        <v>92</v>
      </c>
      <c r="E12" s="14" t="n">
        <v>1</v>
      </c>
      <c r="F12" s="16" t="n">
        <v>1</v>
      </c>
      <c r="G12" s="17" t="n">
        <v>5.7</v>
      </c>
      <c r="H12" s="18" t="n">
        <f aca="false">IF(ISNUMBER(G12),IFERROR(G12/F12,""),"")</f>
        <v>5.7</v>
      </c>
      <c r="I12" s="17" t="n">
        <v>9.99</v>
      </c>
      <c r="J12" s="17" t="n">
        <v>12</v>
      </c>
      <c r="K12" s="19" t="s">
        <v>64</v>
      </c>
      <c r="L12" s="20" t="n">
        <v>12.9</v>
      </c>
      <c r="M12" s="18" t="n">
        <f aca="false">IFERROR(L12*(1-Premissas!$B$5)*(1-Premissas!$B$6)-H12-Premissas!$B$7,"")</f>
        <v>5.43245</v>
      </c>
      <c r="N12" s="21" t="n">
        <f aca="false">IFERROR(M12/L12,"")</f>
        <v>0.42112015503876</v>
      </c>
      <c r="O12" s="18" t="n">
        <f aca="false">IFERROR(L12*(1-Premissas!$B$8)-Premissas!$B$9-H12-Premissas!$B$7,"")</f>
        <v>-1.598</v>
      </c>
      <c r="P12" s="18" t="n">
        <f aca="false">IFERROR(L12*(1-Premissas!$B$10)-Premissas!$B$11-H12-Premissas!$B$7,"")</f>
        <v>-0.38</v>
      </c>
      <c r="Q12" s="18" t="n">
        <f aca="false">IFERROR(M12*F12,"")</f>
        <v>5.43245</v>
      </c>
      <c r="R12" s="22" t="n">
        <f aca="false">IFERROR(IF(M12&gt;0,ROUNDUP(Premissas!$B$12/M12,0),"sem lucro"),"")</f>
        <v>185</v>
      </c>
      <c r="S12" s="15" t="s">
        <v>82</v>
      </c>
      <c r="T12" s="23" t="s">
        <v>76</v>
      </c>
      <c r="U12" s="15"/>
      <c r="V12" s="18" t="n">
        <f aca="false">IF(AND(T12="S",ISNUMBER(L12),ISNUMBER(F12)),L12*F12*X12,0)</f>
        <v>0</v>
      </c>
      <c r="W12" s="18" t="n">
        <f aca="false">IF(AND(T12="S",ISNUMBER(Q12)),Q12*X12,0)</f>
        <v>0</v>
      </c>
      <c r="X12" s="23" t="n">
        <v>12</v>
      </c>
      <c r="Y12" s="18" t="n">
        <f aca="false">IF(AND(T12="S",ISNUMBER(G12)),G12*X12,0)</f>
        <v>0</v>
      </c>
    </row>
    <row r="13" customFormat="false" ht="15" hidden="false" customHeight="false" outlineLevel="0" collapsed="false">
      <c r="A13" s="14" t="s">
        <v>98</v>
      </c>
      <c r="B13" s="15" t="s">
        <v>99</v>
      </c>
      <c r="C13" s="14" t="s">
        <v>70</v>
      </c>
      <c r="D13" s="14" t="s">
        <v>92</v>
      </c>
      <c r="E13" s="14" t="n">
        <v>1</v>
      </c>
      <c r="F13" s="16" t="n">
        <v>1</v>
      </c>
      <c r="G13" s="17" t="n">
        <v>5.7</v>
      </c>
      <c r="H13" s="18" t="n">
        <f aca="false">IF(ISNUMBER(G13),IFERROR(G13/F13,""),"")</f>
        <v>5.7</v>
      </c>
      <c r="I13" s="17" t="n">
        <v>9.99</v>
      </c>
      <c r="J13" s="17" t="n">
        <v>12</v>
      </c>
      <c r="K13" s="19" t="s">
        <v>64</v>
      </c>
      <c r="L13" s="20" t="n">
        <v>12.9</v>
      </c>
      <c r="M13" s="18" t="n">
        <f aca="false">IFERROR(L13*(1-Premissas!$B$5)*(1-Premissas!$B$6)-H13-Premissas!$B$7,"")</f>
        <v>5.43245</v>
      </c>
      <c r="N13" s="21" t="n">
        <f aca="false">IFERROR(M13/L13,"")</f>
        <v>0.42112015503876</v>
      </c>
      <c r="O13" s="18" t="n">
        <f aca="false">IFERROR(L13*(1-Premissas!$B$8)-Premissas!$B$9-H13-Premissas!$B$7,"")</f>
        <v>-1.598</v>
      </c>
      <c r="P13" s="18" t="n">
        <f aca="false">IFERROR(L13*(1-Premissas!$B$10)-Premissas!$B$11-H13-Premissas!$B$7,"")</f>
        <v>-0.38</v>
      </c>
      <c r="Q13" s="18" t="n">
        <f aca="false">IFERROR(M13*F13,"")</f>
        <v>5.43245</v>
      </c>
      <c r="R13" s="22" t="n">
        <f aca="false">IFERROR(IF(M13&gt;0,ROUNDUP(Premissas!$B$12/M13,0),"sem lucro"),"")</f>
        <v>185</v>
      </c>
      <c r="S13" s="15" t="s">
        <v>100</v>
      </c>
      <c r="T13" s="23" t="s">
        <v>66</v>
      </c>
      <c r="U13" s="15"/>
      <c r="V13" s="18" t="n">
        <f aca="false">IF(AND(T13="S",ISNUMBER(L13),ISNUMBER(F13)),L13*F13*X13,0)</f>
        <v>154.8</v>
      </c>
      <c r="W13" s="18" t="n">
        <f aca="false">IF(AND(T13="S",ISNUMBER(Q13)),Q13*X13,0)</f>
        <v>65.1894</v>
      </c>
      <c r="X13" s="23" t="n">
        <v>12</v>
      </c>
      <c r="Y13" s="18" t="n">
        <f aca="false">IF(AND(T13="S",ISNUMBER(G13)),G13*X13,0)</f>
        <v>68.4</v>
      </c>
    </row>
    <row r="14" customFormat="false" ht="15" hidden="false" customHeight="false" outlineLevel="0" collapsed="false">
      <c r="A14" s="14" t="s">
        <v>101</v>
      </c>
      <c r="B14" s="15" t="s">
        <v>102</v>
      </c>
      <c r="C14" s="14" t="s">
        <v>70</v>
      </c>
      <c r="D14" s="14" t="s">
        <v>92</v>
      </c>
      <c r="E14" s="14" t="n">
        <v>1</v>
      </c>
      <c r="F14" s="16" t="n">
        <v>1</v>
      </c>
      <c r="G14" s="17" t="n">
        <v>5.7</v>
      </c>
      <c r="H14" s="18" t="n">
        <f aca="false">IF(ISNUMBER(G14),IFERROR(G14/F14,""),"")</f>
        <v>5.7</v>
      </c>
      <c r="I14" s="17" t="n">
        <v>9.99</v>
      </c>
      <c r="J14" s="17" t="n">
        <v>12</v>
      </c>
      <c r="K14" s="14" t="s">
        <v>93</v>
      </c>
      <c r="L14" s="20" t="n">
        <v>12.9</v>
      </c>
      <c r="M14" s="18" t="n">
        <f aca="false">IFERROR(L14*(1-Premissas!$B$5)*(1-Premissas!$B$6)-H14-Premissas!$B$7,"")</f>
        <v>5.43245</v>
      </c>
      <c r="N14" s="21" t="n">
        <f aca="false">IFERROR(M14/L14,"")</f>
        <v>0.42112015503876</v>
      </c>
      <c r="O14" s="18" t="n">
        <f aca="false">IFERROR(L14*(1-Premissas!$B$8)-Premissas!$B$9-H14-Premissas!$B$7,"")</f>
        <v>-1.598</v>
      </c>
      <c r="P14" s="18" t="n">
        <f aca="false">IFERROR(L14*(1-Premissas!$B$10)-Premissas!$B$11-H14-Premissas!$B$7,"")</f>
        <v>-0.38</v>
      </c>
      <c r="Q14" s="18" t="n">
        <f aca="false">IFERROR(M14*F14,"")</f>
        <v>5.43245</v>
      </c>
      <c r="R14" s="22" t="n">
        <f aca="false">IFERROR(IF(M14&gt;0,ROUNDUP(Premissas!$B$12/M14,0),"sem lucro"),"")</f>
        <v>185</v>
      </c>
      <c r="S14" s="15" t="s">
        <v>82</v>
      </c>
      <c r="T14" s="23" t="s">
        <v>76</v>
      </c>
      <c r="U14" s="15"/>
      <c r="V14" s="18" t="n">
        <f aca="false">IF(AND(T14="S",ISNUMBER(L14),ISNUMBER(F14)),L14*F14*X14,0)</f>
        <v>0</v>
      </c>
      <c r="W14" s="18" t="n">
        <f aca="false">IF(AND(T14="S",ISNUMBER(Q14)),Q14*X14,0)</f>
        <v>0</v>
      </c>
      <c r="X14" s="23" t="n">
        <v>12</v>
      </c>
      <c r="Y14" s="18" t="n">
        <f aca="false">IF(AND(T14="S",ISNUMBER(G14)),G14*X14,0)</f>
        <v>0</v>
      </c>
    </row>
    <row r="15" customFormat="false" ht="15" hidden="false" customHeight="false" outlineLevel="0" collapsed="false">
      <c r="A15" s="14" t="s">
        <v>103</v>
      </c>
      <c r="B15" s="15" t="s">
        <v>104</v>
      </c>
      <c r="C15" s="14" t="s">
        <v>70</v>
      </c>
      <c r="D15" s="14" t="s">
        <v>92</v>
      </c>
      <c r="E15" s="14" t="n">
        <v>1</v>
      </c>
      <c r="F15" s="16" t="n">
        <v>1</v>
      </c>
      <c r="G15" s="17" t="n">
        <v>5.7</v>
      </c>
      <c r="H15" s="18" t="n">
        <f aca="false">IF(ISNUMBER(G15),IFERROR(G15/F15,""),"")</f>
        <v>5.7</v>
      </c>
      <c r="I15" s="17" t="n">
        <v>9.99</v>
      </c>
      <c r="J15" s="17" t="n">
        <v>12</v>
      </c>
      <c r="K15" s="14" t="s">
        <v>93</v>
      </c>
      <c r="L15" s="20" t="n">
        <v>12.9</v>
      </c>
      <c r="M15" s="18" t="n">
        <f aca="false">IFERROR(L15*(1-Premissas!$B$5)*(1-Premissas!$B$6)-H15-Premissas!$B$7,"")</f>
        <v>5.43245</v>
      </c>
      <c r="N15" s="21" t="n">
        <f aca="false">IFERROR(M15/L15,"")</f>
        <v>0.42112015503876</v>
      </c>
      <c r="O15" s="18" t="n">
        <f aca="false">IFERROR(L15*(1-Premissas!$B$8)-Premissas!$B$9-H15-Premissas!$B$7,"")</f>
        <v>-1.598</v>
      </c>
      <c r="P15" s="18" t="n">
        <f aca="false">IFERROR(L15*(1-Premissas!$B$10)-Premissas!$B$11-H15-Premissas!$B$7,"")</f>
        <v>-0.38</v>
      </c>
      <c r="Q15" s="18" t="n">
        <f aca="false">IFERROR(M15*F15,"")</f>
        <v>5.43245</v>
      </c>
      <c r="R15" s="22" t="n">
        <f aca="false">IFERROR(IF(M15&gt;0,ROUNDUP(Premissas!$B$12/M15,0),"sem lucro"),"")</f>
        <v>185</v>
      </c>
      <c r="S15" s="15" t="s">
        <v>82</v>
      </c>
      <c r="T15" s="23" t="s">
        <v>76</v>
      </c>
      <c r="U15" s="15"/>
      <c r="V15" s="18" t="n">
        <f aca="false">IF(AND(T15="S",ISNUMBER(L15),ISNUMBER(F15)),L15*F15*X15,0)</f>
        <v>0</v>
      </c>
      <c r="W15" s="18" t="n">
        <f aca="false">IF(AND(T15="S",ISNUMBER(Q15)),Q15*X15,0)</f>
        <v>0</v>
      </c>
      <c r="X15" s="23" t="n">
        <v>12</v>
      </c>
      <c r="Y15" s="18" t="n">
        <f aca="false">IF(AND(T15="S",ISNUMBER(G15)),G15*X15,0)</f>
        <v>0</v>
      </c>
    </row>
    <row r="16" customFormat="false" ht="15" hidden="false" customHeight="false" outlineLevel="0" collapsed="false">
      <c r="A16" s="14" t="s">
        <v>105</v>
      </c>
      <c r="B16" s="15" t="s">
        <v>106</v>
      </c>
      <c r="C16" s="14" t="s">
        <v>107</v>
      </c>
      <c r="D16" s="14" t="s">
        <v>108</v>
      </c>
      <c r="E16" s="14" t="n">
        <v>1</v>
      </c>
      <c r="F16" s="16" t="n">
        <v>1</v>
      </c>
      <c r="G16" s="17" t="n">
        <v>5.3</v>
      </c>
      <c r="H16" s="18" t="n">
        <f aca="false">IF(ISNUMBER(G16),IFERROR(G16/F16,""),"")</f>
        <v>5.3</v>
      </c>
      <c r="I16" s="17" t="n">
        <v>13.9</v>
      </c>
      <c r="J16" s="17" t="n">
        <v>19.9</v>
      </c>
      <c r="K16" s="14" t="s">
        <v>93</v>
      </c>
      <c r="L16" s="20" t="n">
        <v>16.9</v>
      </c>
      <c r="M16" s="18" t="n">
        <f aca="false">IFERROR(L16*(1-Premissas!$B$5)*(1-Premissas!$B$6)-H16-Premissas!$B$7,"")</f>
        <v>9.59445</v>
      </c>
      <c r="N16" s="21" t="n">
        <f aca="false">IFERROR(M16/L16,"")</f>
        <v>0.567718934911242</v>
      </c>
      <c r="O16" s="18" t="n">
        <f aca="false">IFERROR(L16*(1-Premissas!$B$8)-Premissas!$B$9-H16-Premissas!$B$7,"")</f>
        <v>2.322</v>
      </c>
      <c r="P16" s="18" t="n">
        <f aca="false">IFERROR(L16*(1-Premissas!$B$10)-Premissas!$B$11-H16-Premissas!$B$7,"")</f>
        <v>3.22</v>
      </c>
      <c r="Q16" s="18" t="n">
        <f aca="false">IFERROR(M16*F16,"")</f>
        <v>9.59445</v>
      </c>
      <c r="R16" s="22" t="n">
        <f aca="false">IFERROR(IF(M16&gt;0,ROUNDUP(Premissas!$B$12/M16,0),"sem lucro"),"")</f>
        <v>105</v>
      </c>
      <c r="S16" s="15" t="s">
        <v>65</v>
      </c>
      <c r="T16" s="23" t="s">
        <v>66</v>
      </c>
      <c r="U16" s="15"/>
      <c r="V16" s="18" t="n">
        <f aca="false">IF(AND(T16="S",ISNUMBER(L16),ISNUMBER(F16)),L16*F16*X16,0)</f>
        <v>202.8</v>
      </c>
      <c r="W16" s="18" t="n">
        <f aca="false">IF(AND(T16="S",ISNUMBER(Q16)),Q16*X16,0)</f>
        <v>115.1334</v>
      </c>
      <c r="X16" s="23" t="n">
        <v>12</v>
      </c>
      <c r="Y16" s="18" t="n">
        <f aca="false">IF(AND(T16="S",ISNUMBER(G16)),G16*X16,0)</f>
        <v>63.6</v>
      </c>
    </row>
    <row r="17" customFormat="false" ht="15" hidden="false" customHeight="false" outlineLevel="0" collapsed="false">
      <c r="A17" s="14" t="s">
        <v>109</v>
      </c>
      <c r="B17" s="15" t="s">
        <v>110</v>
      </c>
      <c r="C17" s="14" t="s">
        <v>107</v>
      </c>
      <c r="D17" s="14" t="s">
        <v>108</v>
      </c>
      <c r="E17" s="14" t="n">
        <v>1</v>
      </c>
      <c r="F17" s="16" t="n">
        <v>1</v>
      </c>
      <c r="G17" s="17" t="n">
        <v>2.6</v>
      </c>
      <c r="H17" s="18" t="n">
        <f aca="false">IF(ISNUMBER(G17),IFERROR(G17/F17,""),"")</f>
        <v>2.6</v>
      </c>
      <c r="I17" s="17" t="n">
        <v>6.9</v>
      </c>
      <c r="J17" s="17" t="n">
        <v>6.9</v>
      </c>
      <c r="K17" s="19" t="s">
        <v>64</v>
      </c>
      <c r="L17" s="20" t="n">
        <v>7.9</v>
      </c>
      <c r="M17" s="18" t="n">
        <f aca="false">IFERROR(L17*(1-Premissas!$B$5)*(1-Premissas!$B$6)-H17-Premissas!$B$7,"")</f>
        <v>3.82995</v>
      </c>
      <c r="N17" s="21" t="n">
        <f aca="false">IFERROR(M17/L17,"")</f>
        <v>0.484803797468354</v>
      </c>
      <c r="O17" s="18" t="n">
        <f aca="false">IFERROR(L17*(1-Premissas!$B$8)-Premissas!$B$9-H17-Premissas!$B$7,"")</f>
        <v>-2.898</v>
      </c>
      <c r="P17" s="18" t="n">
        <f aca="false">IFERROR(L17*(1-Premissas!$B$10)-Premissas!$B$11-H17-Premissas!$B$7,"")</f>
        <v>-1.28</v>
      </c>
      <c r="Q17" s="18" t="n">
        <f aca="false">IFERROR(M17*F17,"")</f>
        <v>3.82995</v>
      </c>
      <c r="R17" s="22" t="n">
        <f aca="false">IFERROR(IF(M17&gt;0,ROUNDUP(Premissas!$B$12/M17,0),"sem lucro"),"")</f>
        <v>262</v>
      </c>
      <c r="S17" s="15" t="s">
        <v>111</v>
      </c>
      <c r="T17" s="23" t="s">
        <v>76</v>
      </c>
      <c r="U17" s="15"/>
      <c r="V17" s="18" t="n">
        <f aca="false">IF(AND(T17="S",ISNUMBER(L17),ISNUMBER(F17)),L17*F17*X17,0)</f>
        <v>0</v>
      </c>
      <c r="W17" s="18" t="n">
        <f aca="false">IF(AND(T17="S",ISNUMBER(Q17)),Q17*X17,0)</f>
        <v>0</v>
      </c>
      <c r="X17" s="23" t="n">
        <v>12</v>
      </c>
      <c r="Y17" s="18" t="n">
        <f aca="false">IF(AND(T17="S",ISNUMBER(G17)),G17*X17,0)</f>
        <v>0</v>
      </c>
    </row>
    <row r="18" customFormat="false" ht="15" hidden="false" customHeight="false" outlineLevel="0" collapsed="false">
      <c r="A18" s="14" t="s">
        <v>112</v>
      </c>
      <c r="B18" s="15" t="s">
        <v>113</v>
      </c>
      <c r="C18" s="14" t="s">
        <v>107</v>
      </c>
      <c r="D18" s="14" t="s">
        <v>108</v>
      </c>
      <c r="E18" s="14" t="n">
        <v>1</v>
      </c>
      <c r="F18" s="16" t="n">
        <v>1</v>
      </c>
      <c r="G18" s="17" t="n">
        <v>2.6</v>
      </c>
      <c r="H18" s="18" t="n">
        <f aca="false">IF(ISNUMBER(G18),IFERROR(G18/F18,""),"")</f>
        <v>2.6</v>
      </c>
      <c r="I18" s="17" t="n">
        <v>6.9</v>
      </c>
      <c r="J18" s="17" t="n">
        <v>6.9</v>
      </c>
      <c r="K18" s="19" t="s">
        <v>64</v>
      </c>
      <c r="L18" s="20" t="n">
        <v>7.9</v>
      </c>
      <c r="M18" s="18" t="n">
        <f aca="false">IFERROR(L18*(1-Premissas!$B$5)*(1-Premissas!$B$6)-H18-Premissas!$B$7,"")</f>
        <v>3.82995</v>
      </c>
      <c r="N18" s="21" t="n">
        <f aca="false">IFERROR(M18/L18,"")</f>
        <v>0.484803797468354</v>
      </c>
      <c r="O18" s="18" t="n">
        <f aca="false">IFERROR(L18*(1-Premissas!$B$8)-Premissas!$B$9-H18-Premissas!$B$7,"")</f>
        <v>-2.898</v>
      </c>
      <c r="P18" s="18" t="n">
        <f aca="false">IFERROR(L18*(1-Premissas!$B$10)-Premissas!$B$11-H18-Premissas!$B$7,"")</f>
        <v>-1.28</v>
      </c>
      <c r="Q18" s="18" t="n">
        <f aca="false">IFERROR(M18*F18,"")</f>
        <v>3.82995</v>
      </c>
      <c r="R18" s="22" t="n">
        <f aca="false">IFERROR(IF(M18&gt;0,ROUNDUP(Premissas!$B$12/M18,0),"sem lucro"),"")</f>
        <v>262</v>
      </c>
      <c r="S18" s="15" t="s">
        <v>111</v>
      </c>
      <c r="T18" s="23" t="s">
        <v>76</v>
      </c>
      <c r="U18" s="15"/>
      <c r="V18" s="18" t="n">
        <f aca="false">IF(AND(T18="S",ISNUMBER(L18),ISNUMBER(F18)),L18*F18*X18,0)</f>
        <v>0</v>
      </c>
      <c r="W18" s="18" t="n">
        <f aca="false">IF(AND(T18="S",ISNUMBER(Q18)),Q18*X18,0)</f>
        <v>0</v>
      </c>
      <c r="X18" s="23" t="n">
        <v>12</v>
      </c>
      <c r="Y18" s="18" t="n">
        <f aca="false">IF(AND(T18="S",ISNUMBER(G18)),G18*X18,0)</f>
        <v>0</v>
      </c>
    </row>
    <row r="19" customFormat="false" ht="15" hidden="false" customHeight="false" outlineLevel="0" collapsed="false">
      <c r="A19" s="14" t="s">
        <v>114</v>
      </c>
      <c r="B19" s="15" t="s">
        <v>115</v>
      </c>
      <c r="C19" s="14" t="s">
        <v>116</v>
      </c>
      <c r="D19" s="14" t="s">
        <v>117</v>
      </c>
      <c r="E19" s="14" t="n">
        <v>1</v>
      </c>
      <c r="F19" s="16" t="n">
        <v>24</v>
      </c>
      <c r="G19" s="17" t="n">
        <v>101.99</v>
      </c>
      <c r="H19" s="18" t="n">
        <f aca="false">IF(ISNUMBER(G19),IFERROR(G19/F19,""),"")</f>
        <v>4.24958333333333</v>
      </c>
      <c r="I19" s="17" t="n">
        <v>10</v>
      </c>
      <c r="J19" s="17" t="n">
        <v>10</v>
      </c>
      <c r="K19" s="19" t="s">
        <v>64</v>
      </c>
      <c r="L19" s="20" t="n">
        <v>11.9</v>
      </c>
      <c r="M19" s="18" t="n">
        <f aca="false">IFERROR(L19*(1-Premissas!$B$5)*(1-Premissas!$B$6)-H19-Premissas!$B$7,"")</f>
        <v>5.94236666666667</v>
      </c>
      <c r="N19" s="21" t="n">
        <f aca="false">IFERROR(M19/L19,"")</f>
        <v>0.499358543417367</v>
      </c>
      <c r="O19" s="18" t="n">
        <f aca="false">IFERROR(L19*(1-Premissas!$B$8)-Premissas!$B$9-H19-Premissas!$B$7,"")</f>
        <v>-1.02758333333333</v>
      </c>
      <c r="P19" s="18" t="n">
        <f aca="false">IFERROR(L19*(1-Premissas!$B$10)-Premissas!$B$11-H19-Premissas!$B$7,"")</f>
        <v>0.270416666666669</v>
      </c>
      <c r="Q19" s="18" t="n">
        <f aca="false">IFERROR(M19*F19,"")</f>
        <v>142.6168</v>
      </c>
      <c r="R19" s="22" t="n">
        <f aca="false">IFERROR(IF(M19&gt;0,ROUNDUP(Premissas!$B$12/M19,0),"sem lucro"),"")</f>
        <v>169</v>
      </c>
      <c r="S19" s="15" t="s">
        <v>82</v>
      </c>
      <c r="T19" s="23" t="s">
        <v>76</v>
      </c>
      <c r="U19" s="15"/>
      <c r="V19" s="18" t="n">
        <f aca="false">IF(AND(T19="S",ISNUMBER(L19),ISNUMBER(F19)),L19*F19*X19,0)</f>
        <v>0</v>
      </c>
      <c r="W19" s="18" t="n">
        <f aca="false">IF(AND(T19="S",ISNUMBER(Q19)),Q19*X19,0)</f>
        <v>0</v>
      </c>
      <c r="X19" s="23" t="n">
        <v>1</v>
      </c>
      <c r="Y19" s="18" t="n">
        <f aca="false">IF(AND(T19="S",ISNUMBER(G19)),G19*X19,0)</f>
        <v>0</v>
      </c>
    </row>
    <row r="20" customFormat="false" ht="15" hidden="false" customHeight="false" outlineLevel="0" collapsed="false">
      <c r="A20" s="14" t="s">
        <v>118</v>
      </c>
      <c r="B20" s="15" t="s">
        <v>119</v>
      </c>
      <c r="C20" s="14" t="s">
        <v>116</v>
      </c>
      <c r="D20" s="14" t="s">
        <v>117</v>
      </c>
      <c r="E20" s="14" t="n">
        <v>1</v>
      </c>
      <c r="F20" s="16" t="n">
        <v>24</v>
      </c>
      <c r="G20" s="17" t="n">
        <v>90.99</v>
      </c>
      <c r="H20" s="18" t="n">
        <f aca="false">IF(ISNUMBER(G20),IFERROR(G20/F20,""),"")</f>
        <v>3.79125</v>
      </c>
      <c r="I20" s="17" t="n">
        <v>10</v>
      </c>
      <c r="J20" s="17" t="n">
        <v>10</v>
      </c>
      <c r="K20" s="19" t="s">
        <v>64</v>
      </c>
      <c r="L20" s="20" t="n">
        <v>9.9</v>
      </c>
      <c r="M20" s="18" t="n">
        <f aca="false">IFERROR(L20*(1-Premissas!$B$5)*(1-Premissas!$B$6)-H20-Premissas!$B$7,"")</f>
        <v>4.5197</v>
      </c>
      <c r="N20" s="21" t="n">
        <f aca="false">IFERROR(M20/L20,"")</f>
        <v>0.456535353535354</v>
      </c>
      <c r="O20" s="18" t="n">
        <f aca="false">IFERROR(L20*(1-Premissas!$B$8)-Premissas!$B$9-H20-Premissas!$B$7,"")</f>
        <v>-2.32925</v>
      </c>
      <c r="P20" s="18" t="n">
        <f aca="false">IFERROR(L20*(1-Premissas!$B$10)-Premissas!$B$11-H20-Premissas!$B$7,"")</f>
        <v>-0.871249999999999</v>
      </c>
      <c r="Q20" s="18" t="n">
        <f aca="false">IFERROR(M20*F20,"")</f>
        <v>108.4728</v>
      </c>
      <c r="R20" s="22" t="n">
        <f aca="false">IFERROR(IF(M20&gt;0,ROUNDUP(Premissas!$B$12/M20,0),"sem lucro"),"")</f>
        <v>222</v>
      </c>
      <c r="S20" s="15" t="s">
        <v>120</v>
      </c>
      <c r="T20" s="23" t="s">
        <v>76</v>
      </c>
      <c r="U20" s="15"/>
      <c r="V20" s="18" t="n">
        <f aca="false">IF(AND(T20="S",ISNUMBER(L20),ISNUMBER(F20)),L20*F20*X20,0)</f>
        <v>0</v>
      </c>
      <c r="W20" s="18" t="n">
        <f aca="false">IF(AND(T20="S",ISNUMBER(Q20)),Q20*X20,0)</f>
        <v>0</v>
      </c>
      <c r="X20" s="23" t="n">
        <v>1</v>
      </c>
      <c r="Y20" s="18" t="n">
        <f aca="false">IF(AND(T20="S",ISNUMBER(G20)),G20*X20,0)</f>
        <v>0</v>
      </c>
    </row>
    <row r="21" customFormat="false" ht="15" hidden="false" customHeight="false" outlineLevel="0" collapsed="false">
      <c r="A21" s="14" t="s">
        <v>121</v>
      </c>
      <c r="B21" s="15" t="s">
        <v>122</v>
      </c>
      <c r="C21" s="14" t="s">
        <v>116</v>
      </c>
      <c r="D21" s="14" t="s">
        <v>117</v>
      </c>
      <c r="E21" s="14" t="n">
        <v>1</v>
      </c>
      <c r="F21" s="16" t="n">
        <v>24</v>
      </c>
      <c r="G21" s="17" t="n">
        <v>64.2</v>
      </c>
      <c r="H21" s="18" t="n">
        <f aca="false">IF(ISNUMBER(G21),IFERROR(G21/F21,""),"")</f>
        <v>2.675</v>
      </c>
      <c r="I21" s="17" t="n">
        <v>5</v>
      </c>
      <c r="J21" s="17" t="n">
        <v>10</v>
      </c>
      <c r="K21" s="19" t="s">
        <v>64</v>
      </c>
      <c r="L21" s="20" t="n">
        <v>7.9</v>
      </c>
      <c r="M21" s="18" t="n">
        <f aca="false">IFERROR(L21*(1-Premissas!$B$5)*(1-Premissas!$B$6)-H21-Premissas!$B$7,"")</f>
        <v>3.75495</v>
      </c>
      <c r="N21" s="21" t="n">
        <f aca="false">IFERROR(M21/L21,"")</f>
        <v>0.475310126582278</v>
      </c>
      <c r="O21" s="18" t="n">
        <f aca="false">IFERROR(L21*(1-Premissas!$B$8)-Premissas!$B$9-H21-Premissas!$B$7,"")</f>
        <v>-2.973</v>
      </c>
      <c r="P21" s="18" t="n">
        <f aca="false">IFERROR(L21*(1-Premissas!$B$10)-Premissas!$B$11-H21-Premissas!$B$7,"")</f>
        <v>-1.355</v>
      </c>
      <c r="Q21" s="18" t="n">
        <f aca="false">IFERROR(M21*F21,"")</f>
        <v>90.1188</v>
      </c>
      <c r="R21" s="22" t="n">
        <f aca="false">IFERROR(IF(M21&gt;0,ROUNDUP(Premissas!$B$12/M21,0),"sem lucro"),"")</f>
        <v>267</v>
      </c>
      <c r="S21" s="15" t="s">
        <v>111</v>
      </c>
      <c r="T21" s="23" t="s">
        <v>76</v>
      </c>
      <c r="U21" s="15"/>
      <c r="V21" s="18" t="n">
        <f aca="false">IF(AND(T21="S",ISNUMBER(L21),ISNUMBER(F21)),L21*F21*X21,0)</f>
        <v>0</v>
      </c>
      <c r="W21" s="18" t="n">
        <f aca="false">IF(AND(T21="S",ISNUMBER(Q21)),Q21*X21,0)</f>
        <v>0</v>
      </c>
      <c r="X21" s="23" t="n">
        <v>1</v>
      </c>
      <c r="Y21" s="18" t="n">
        <f aca="false">IF(AND(T21="S",ISNUMBER(G21)),G21*X21,0)</f>
        <v>0</v>
      </c>
    </row>
    <row r="22" customFormat="false" ht="15" hidden="false" customHeight="false" outlineLevel="0" collapsed="false">
      <c r="A22" s="14" t="s">
        <v>123</v>
      </c>
      <c r="B22" s="15" t="s">
        <v>124</v>
      </c>
      <c r="C22" s="14" t="s">
        <v>116</v>
      </c>
      <c r="D22" s="14" t="s">
        <v>125</v>
      </c>
      <c r="E22" s="14" t="n">
        <v>2</v>
      </c>
      <c r="F22" s="16" t="n">
        <v>24</v>
      </c>
      <c r="G22" s="17" t="n">
        <v>160.4</v>
      </c>
      <c r="H22" s="18" t="n">
        <f aca="false">IF(ISNUMBER(G22),IFERROR(G22/F22,""),"")</f>
        <v>6.68333333333333</v>
      </c>
      <c r="I22" s="17" t="n">
        <v>12.9</v>
      </c>
      <c r="J22" s="17" t="n">
        <v>12.9</v>
      </c>
      <c r="K22" s="19" t="s">
        <v>64</v>
      </c>
      <c r="L22" s="20" t="n">
        <v>12.9</v>
      </c>
      <c r="M22" s="18" t="n">
        <f aca="false">IFERROR(L22*(1-Premissas!$B$5)*(1-Premissas!$B$6)-H22-Premissas!$B$7,"")</f>
        <v>4.44911666666667</v>
      </c>
      <c r="N22" s="21" t="n">
        <f aca="false">IFERROR(M22/L22,"")</f>
        <v>0.344892764857881</v>
      </c>
      <c r="O22" s="18" t="n">
        <f aca="false">IFERROR(L22*(1-Premissas!$B$8)-Premissas!$B$9-H22-Premissas!$B$7,"")</f>
        <v>-2.58133333333333</v>
      </c>
      <c r="P22" s="18" t="n">
        <f aca="false">IFERROR(L22*(1-Premissas!$B$10)-Premissas!$B$11-H22-Premissas!$B$7,"")</f>
        <v>-1.36333333333333</v>
      </c>
      <c r="Q22" s="18" t="n">
        <f aca="false">IFERROR(M22*F22,"")</f>
        <v>106.7788</v>
      </c>
      <c r="R22" s="22" t="n">
        <f aca="false">IFERROR(IF(M22&gt;0,ROUNDUP(Premissas!$B$12/M22,0),"sem lucro"),"")</f>
        <v>225</v>
      </c>
      <c r="S22" s="15" t="s">
        <v>126</v>
      </c>
      <c r="T22" s="23" t="s">
        <v>76</v>
      </c>
      <c r="U22" s="15"/>
      <c r="V22" s="18" t="n">
        <f aca="false">IF(AND(T22="S",ISNUMBER(L22),ISNUMBER(F22)),L22*F22*X22,0)</f>
        <v>0</v>
      </c>
      <c r="W22" s="18" t="n">
        <f aca="false">IF(AND(T22="S",ISNUMBER(Q22)),Q22*X22,0)</f>
        <v>0</v>
      </c>
      <c r="X22" s="23" t="n">
        <v>1</v>
      </c>
      <c r="Y22" s="18" t="n">
        <f aca="false">IF(AND(T22="S",ISNUMBER(G22)),G22*X22,0)</f>
        <v>0</v>
      </c>
    </row>
    <row r="23" customFormat="false" ht="26.85" hidden="false" customHeight="false" outlineLevel="0" collapsed="false">
      <c r="A23" s="14" t="s">
        <v>127</v>
      </c>
      <c r="B23" s="15" t="s">
        <v>128</v>
      </c>
      <c r="C23" s="14" t="s">
        <v>129</v>
      </c>
      <c r="D23" s="14" t="s">
        <v>125</v>
      </c>
      <c r="E23" s="14" t="n">
        <v>2</v>
      </c>
      <c r="F23" s="16" t="n">
        <v>10</v>
      </c>
      <c r="G23" s="17" t="n">
        <v>37.8</v>
      </c>
      <c r="H23" s="18" t="n">
        <f aca="false">IF(ISNUMBER(G23),IFERROR(G23/F23,""),"")</f>
        <v>3.78</v>
      </c>
      <c r="I23" s="17" t="n">
        <v>4.06</v>
      </c>
      <c r="J23" s="17" t="n">
        <v>10.99</v>
      </c>
      <c r="K23" s="14" t="s">
        <v>93</v>
      </c>
      <c r="L23" s="20" t="n">
        <v>9.9</v>
      </c>
      <c r="M23" s="18" t="n">
        <f aca="false">IFERROR(L23*(1-Premissas!$B$5)*(1-Premissas!$B$6)-H23-Premissas!$B$7,"")</f>
        <v>4.53095</v>
      </c>
      <c r="N23" s="21" t="n">
        <f aca="false">IFERROR(M23/L23,"")</f>
        <v>0.457671717171717</v>
      </c>
      <c r="O23" s="18" t="n">
        <f aca="false">IFERROR(L23*(1-Premissas!$B$8)-Premissas!$B$9-H23-Premissas!$B$7,"")</f>
        <v>-2.318</v>
      </c>
      <c r="P23" s="18" t="n">
        <f aca="false">IFERROR(L23*(1-Premissas!$B$10)-Premissas!$B$11-H23-Premissas!$B$7,"")</f>
        <v>-0.859999999999999</v>
      </c>
      <c r="Q23" s="18" t="n">
        <f aca="false">IFERROR(M23*F23,"")</f>
        <v>45.3095</v>
      </c>
      <c r="R23" s="22" t="n">
        <f aca="false">IFERROR(IF(M23&gt;0,ROUNDUP(Premissas!$B$12/M23,0),"sem lucro"),"")</f>
        <v>221</v>
      </c>
      <c r="S23" s="15" t="s">
        <v>65</v>
      </c>
      <c r="T23" s="23" t="s">
        <v>66</v>
      </c>
      <c r="U23" s="15" t="s">
        <v>130</v>
      </c>
      <c r="V23" s="18" t="n">
        <f aca="false">IF(AND(T23="S",ISNUMBER(L23),ISNUMBER(F23)),L23*F23*X23,0)</f>
        <v>99</v>
      </c>
      <c r="W23" s="18" t="n">
        <f aca="false">IF(AND(T23="S",ISNUMBER(Q23)),Q23*X23,0)</f>
        <v>45.3095</v>
      </c>
      <c r="X23" s="23" t="n">
        <v>1</v>
      </c>
      <c r="Y23" s="18" t="n">
        <f aca="false">IF(AND(T23="S",ISNUMBER(G23)),G23*X23,0)</f>
        <v>37.8</v>
      </c>
    </row>
    <row r="24" customFormat="false" ht="15" hidden="false" customHeight="false" outlineLevel="0" collapsed="false">
      <c r="A24" s="14" t="s">
        <v>131</v>
      </c>
      <c r="B24" s="15" t="s">
        <v>132</v>
      </c>
      <c r="C24" s="14" t="s">
        <v>133</v>
      </c>
      <c r="D24" s="14" t="s">
        <v>92</v>
      </c>
      <c r="E24" s="14" t="n">
        <v>2</v>
      </c>
      <c r="F24" s="16" t="n">
        <v>1</v>
      </c>
      <c r="G24" s="17" t="n">
        <v>6.3</v>
      </c>
      <c r="H24" s="18" t="n">
        <f aca="false">IF(ISNUMBER(G24),IFERROR(G24/F24,""),"")</f>
        <v>6.3</v>
      </c>
      <c r="I24" s="17" t="n">
        <v>15</v>
      </c>
      <c r="J24" s="17" t="n">
        <v>20</v>
      </c>
      <c r="K24" s="19" t="s">
        <v>64</v>
      </c>
      <c r="L24" s="20" t="n">
        <v>16.9</v>
      </c>
      <c r="M24" s="18" t="n">
        <f aca="false">IFERROR(L24*(1-Premissas!$B$5)*(1-Premissas!$B$6)-H24-Premissas!$B$7,"")</f>
        <v>8.59445</v>
      </c>
      <c r="N24" s="21" t="n">
        <f aca="false">IFERROR(M24/L24,"")</f>
        <v>0.508547337278106</v>
      </c>
      <c r="O24" s="18" t="n">
        <f aca="false">IFERROR(L24*(1-Premissas!$B$8)-Premissas!$B$9-H24-Premissas!$B$7,"")</f>
        <v>1.322</v>
      </c>
      <c r="P24" s="18" t="n">
        <f aca="false">IFERROR(L24*(1-Premissas!$B$10)-Premissas!$B$11-H24-Premissas!$B$7,"")</f>
        <v>2.22</v>
      </c>
      <c r="Q24" s="18" t="n">
        <f aca="false">IFERROR(M24*F24,"")</f>
        <v>8.59445</v>
      </c>
      <c r="R24" s="22" t="n">
        <f aca="false">IFERROR(IF(M24&gt;0,ROUNDUP(Premissas!$B$12/M24,0),"sem lucro"),"")</f>
        <v>117</v>
      </c>
      <c r="S24" s="15" t="s">
        <v>134</v>
      </c>
      <c r="T24" s="23" t="s">
        <v>66</v>
      </c>
      <c r="U24" s="15"/>
      <c r="V24" s="18" t="n">
        <f aca="false">IF(AND(T24="S",ISNUMBER(L24),ISNUMBER(F24)),L24*F24*X24,0)</f>
        <v>202.8</v>
      </c>
      <c r="W24" s="18" t="n">
        <f aca="false">IF(AND(T24="S",ISNUMBER(Q24)),Q24*X24,0)</f>
        <v>103.1334</v>
      </c>
      <c r="X24" s="23" t="n">
        <v>12</v>
      </c>
      <c r="Y24" s="18" t="n">
        <f aca="false">IF(AND(T24="S",ISNUMBER(G24)),G24*X24,0)</f>
        <v>75.6</v>
      </c>
    </row>
    <row r="25" customFormat="false" ht="15" hidden="false" customHeight="false" outlineLevel="0" collapsed="false">
      <c r="A25" s="14" t="s">
        <v>135</v>
      </c>
      <c r="B25" s="15" t="s">
        <v>136</v>
      </c>
      <c r="C25" s="14" t="s">
        <v>133</v>
      </c>
      <c r="D25" s="14" t="s">
        <v>92</v>
      </c>
      <c r="E25" s="14" t="n">
        <v>2</v>
      </c>
      <c r="F25" s="16" t="n">
        <v>1</v>
      </c>
      <c r="G25" s="17" t="n">
        <v>6.3</v>
      </c>
      <c r="H25" s="18" t="n">
        <f aca="false">IF(ISNUMBER(G25),IFERROR(G25/F25,""),"")</f>
        <v>6.3</v>
      </c>
      <c r="I25" s="17" t="n">
        <v>15</v>
      </c>
      <c r="J25" s="17" t="n">
        <v>20</v>
      </c>
      <c r="K25" s="19" t="s">
        <v>64</v>
      </c>
      <c r="L25" s="20" t="n">
        <v>16.9</v>
      </c>
      <c r="M25" s="18" t="n">
        <f aca="false">IFERROR(L25*(1-Premissas!$B$5)*(1-Premissas!$B$6)-H25-Premissas!$B$7,"")</f>
        <v>8.59445</v>
      </c>
      <c r="N25" s="21" t="n">
        <f aca="false">IFERROR(M25/L25,"")</f>
        <v>0.508547337278106</v>
      </c>
      <c r="O25" s="18" t="n">
        <f aca="false">IFERROR(L25*(1-Premissas!$B$8)-Premissas!$B$9-H25-Premissas!$B$7,"")</f>
        <v>1.322</v>
      </c>
      <c r="P25" s="18" t="n">
        <f aca="false">IFERROR(L25*(1-Premissas!$B$10)-Premissas!$B$11-H25-Premissas!$B$7,"")</f>
        <v>2.22</v>
      </c>
      <c r="Q25" s="18" t="n">
        <f aca="false">IFERROR(M25*F25,"")</f>
        <v>8.59445</v>
      </c>
      <c r="R25" s="22" t="n">
        <f aca="false">IFERROR(IF(M25&gt;0,ROUNDUP(Premissas!$B$12/M25,0),"sem lucro"),"")</f>
        <v>117</v>
      </c>
      <c r="S25" s="15" t="s">
        <v>134</v>
      </c>
      <c r="T25" s="23" t="s">
        <v>66</v>
      </c>
      <c r="U25" s="15"/>
      <c r="V25" s="18" t="n">
        <f aca="false">IF(AND(T25="S",ISNUMBER(L25),ISNUMBER(F25)),L25*F25*X25,0)</f>
        <v>202.8</v>
      </c>
      <c r="W25" s="18" t="n">
        <f aca="false">IF(AND(T25="S",ISNUMBER(Q25)),Q25*X25,0)</f>
        <v>103.1334</v>
      </c>
      <c r="X25" s="23" t="n">
        <v>12</v>
      </c>
      <c r="Y25" s="18" t="n">
        <f aca="false">IF(AND(T25="S",ISNUMBER(G25)),G25*X25,0)</f>
        <v>75.6</v>
      </c>
    </row>
    <row r="26" customFormat="false" ht="15" hidden="false" customHeight="false" outlineLevel="0" collapsed="false">
      <c r="A26" s="14" t="s">
        <v>137</v>
      </c>
      <c r="B26" s="15" t="s">
        <v>138</v>
      </c>
      <c r="C26" s="14" t="s">
        <v>133</v>
      </c>
      <c r="D26" s="14" t="s">
        <v>92</v>
      </c>
      <c r="E26" s="14" t="n">
        <v>2</v>
      </c>
      <c r="F26" s="16" t="n">
        <v>1</v>
      </c>
      <c r="G26" s="17" t="n">
        <v>6.3</v>
      </c>
      <c r="H26" s="18" t="n">
        <f aca="false">IF(ISNUMBER(G26),IFERROR(G26/F26,""),"")</f>
        <v>6.3</v>
      </c>
      <c r="I26" s="17" t="n">
        <v>15</v>
      </c>
      <c r="J26" s="17" t="n">
        <v>20</v>
      </c>
      <c r="K26" s="19" t="s">
        <v>64</v>
      </c>
      <c r="L26" s="20" t="n">
        <v>16.9</v>
      </c>
      <c r="M26" s="18" t="n">
        <f aca="false">IFERROR(L26*(1-Premissas!$B$5)*(1-Premissas!$B$6)-H26-Premissas!$B$7,"")</f>
        <v>8.59445</v>
      </c>
      <c r="N26" s="21" t="n">
        <f aca="false">IFERROR(M26/L26,"")</f>
        <v>0.508547337278106</v>
      </c>
      <c r="O26" s="18" t="n">
        <f aca="false">IFERROR(L26*(1-Premissas!$B$8)-Premissas!$B$9-H26-Premissas!$B$7,"")</f>
        <v>1.322</v>
      </c>
      <c r="P26" s="18" t="n">
        <f aca="false">IFERROR(L26*(1-Premissas!$B$10)-Premissas!$B$11-H26-Premissas!$B$7,"")</f>
        <v>2.22</v>
      </c>
      <c r="Q26" s="18" t="n">
        <f aca="false">IFERROR(M26*F26,"")</f>
        <v>8.59445</v>
      </c>
      <c r="R26" s="22" t="n">
        <f aca="false">IFERROR(IF(M26&gt;0,ROUNDUP(Premissas!$B$12/M26,0),"sem lucro"),"")</f>
        <v>117</v>
      </c>
      <c r="S26" s="15" t="s">
        <v>134</v>
      </c>
      <c r="T26" s="23" t="s">
        <v>66</v>
      </c>
      <c r="U26" s="15"/>
      <c r="V26" s="18" t="n">
        <f aca="false">IF(AND(T26="S",ISNUMBER(L26),ISNUMBER(F26)),L26*F26*X26,0)</f>
        <v>202.8</v>
      </c>
      <c r="W26" s="18" t="n">
        <f aca="false">IF(AND(T26="S",ISNUMBER(Q26)),Q26*X26,0)</f>
        <v>103.1334</v>
      </c>
      <c r="X26" s="23" t="n">
        <v>12</v>
      </c>
      <c r="Y26" s="18" t="n">
        <f aca="false">IF(AND(T26="S",ISNUMBER(G26)),G26*X26,0)</f>
        <v>75.6</v>
      </c>
    </row>
    <row r="27" customFormat="false" ht="15" hidden="false" customHeight="false" outlineLevel="0" collapsed="false">
      <c r="A27" s="14" t="s">
        <v>139</v>
      </c>
      <c r="B27" s="15" t="s">
        <v>140</v>
      </c>
      <c r="C27" s="14" t="s">
        <v>133</v>
      </c>
      <c r="D27" s="14" t="s">
        <v>141</v>
      </c>
      <c r="E27" s="14" t="n">
        <v>2</v>
      </c>
      <c r="F27" s="16" t="n">
        <v>1</v>
      </c>
      <c r="G27" s="17" t="n">
        <v>6.9</v>
      </c>
      <c r="H27" s="18" t="n">
        <f aca="false">IF(ISNUMBER(G27),IFERROR(G27/F27,""),"")</f>
        <v>6.9</v>
      </c>
      <c r="I27" s="17" t="n">
        <v>20</v>
      </c>
      <c r="J27" s="17" t="n">
        <v>30</v>
      </c>
      <c r="K27" s="19" t="s">
        <v>64</v>
      </c>
      <c r="L27" s="20" t="n">
        <v>19.9</v>
      </c>
      <c r="M27" s="18" t="n">
        <f aca="false">IFERROR(L27*(1-Premissas!$B$5)*(1-Premissas!$B$6)-H27-Premissas!$B$7,"")</f>
        <v>10.81595</v>
      </c>
      <c r="N27" s="21" t="n">
        <f aca="false">IFERROR(M27/L27,"")</f>
        <v>0.543515075376884</v>
      </c>
      <c r="O27" s="18" t="n">
        <f aca="false">IFERROR(L27*(1-Premissas!$B$8)-Premissas!$B$9-H27-Premissas!$B$7,"")</f>
        <v>3.362</v>
      </c>
      <c r="P27" s="18" t="n">
        <f aca="false">IFERROR(L27*(1-Premissas!$B$10)-Premissas!$B$11-H27-Premissas!$B$7,"")</f>
        <v>4.02</v>
      </c>
      <c r="Q27" s="18" t="n">
        <f aca="false">IFERROR(M27*F27,"")</f>
        <v>10.81595</v>
      </c>
      <c r="R27" s="22" t="n">
        <f aca="false">IFERROR(IF(M27&gt;0,ROUNDUP(Premissas!$B$12/M27,0),"sem lucro"),"")</f>
        <v>93</v>
      </c>
      <c r="S27" s="15" t="s">
        <v>65</v>
      </c>
      <c r="T27" s="23" t="s">
        <v>66</v>
      </c>
      <c r="U27" s="15" t="s">
        <v>142</v>
      </c>
      <c r="V27" s="18" t="n">
        <f aca="false">IF(AND(T27="S",ISNUMBER(L27),ISNUMBER(F27)),L27*F27*X27,0)</f>
        <v>238.8</v>
      </c>
      <c r="W27" s="18" t="n">
        <f aca="false">IF(AND(T27="S",ISNUMBER(Q27)),Q27*X27,0)</f>
        <v>129.7914</v>
      </c>
      <c r="X27" s="23" t="n">
        <v>12</v>
      </c>
      <c r="Y27" s="18" t="n">
        <f aca="false">IF(AND(T27="S",ISNUMBER(G27)),G27*X27,0)</f>
        <v>82.8</v>
      </c>
    </row>
    <row r="28" customFormat="false" ht="15" hidden="false" customHeight="false" outlineLevel="0" collapsed="false">
      <c r="A28" s="14" t="s">
        <v>143</v>
      </c>
      <c r="B28" s="15" t="s">
        <v>144</v>
      </c>
      <c r="C28" s="14" t="s">
        <v>145</v>
      </c>
      <c r="D28" s="14" t="s">
        <v>117</v>
      </c>
      <c r="E28" s="14" t="n">
        <v>2</v>
      </c>
      <c r="F28" s="16" t="n">
        <v>24</v>
      </c>
      <c r="G28" s="17" t="n">
        <v>165.3</v>
      </c>
      <c r="H28" s="18" t="n">
        <f aca="false">IF(ISNUMBER(G28),IFERROR(G28/F28,""),"")</f>
        <v>6.8875</v>
      </c>
      <c r="I28" s="17" t="n">
        <v>14.9</v>
      </c>
      <c r="J28" s="17" t="n">
        <v>14.9</v>
      </c>
      <c r="K28" s="19" t="s">
        <v>64</v>
      </c>
      <c r="L28" s="20" t="n">
        <v>14.9</v>
      </c>
      <c r="M28" s="18" t="n">
        <f aca="false">IFERROR(L28*(1-Premissas!$B$5)*(1-Premissas!$B$6)-H28-Premissas!$B$7,"")</f>
        <v>6.12595</v>
      </c>
      <c r="N28" s="21" t="n">
        <f aca="false">IFERROR(M28/L28,"")</f>
        <v>0.411137583892617</v>
      </c>
      <c r="O28" s="18" t="n">
        <f aca="false">IFERROR(L28*(1-Premissas!$B$8)-Premissas!$B$9-H28-Premissas!$B$7,"")</f>
        <v>-1.0255</v>
      </c>
      <c r="P28" s="18" t="n">
        <f aca="false">IFERROR(L28*(1-Premissas!$B$10)-Premissas!$B$11-H28-Premissas!$B$7,"")</f>
        <v>0.0325000000000015</v>
      </c>
      <c r="Q28" s="18" t="n">
        <f aca="false">IFERROR(M28*F28,"")</f>
        <v>147.0228</v>
      </c>
      <c r="R28" s="22" t="n">
        <f aca="false">IFERROR(IF(M28&gt;0,ROUNDUP(Premissas!$B$12/M28,0),"sem lucro"),"")</f>
        <v>164</v>
      </c>
      <c r="S28" s="15" t="s">
        <v>82</v>
      </c>
      <c r="T28" s="23" t="s">
        <v>76</v>
      </c>
      <c r="U28" s="15"/>
      <c r="V28" s="18" t="n">
        <f aca="false">IF(AND(T28="S",ISNUMBER(L28),ISNUMBER(F28)),L28*F28*X28,0)</f>
        <v>0</v>
      </c>
      <c r="W28" s="18" t="n">
        <f aca="false">IF(AND(T28="S",ISNUMBER(Q28)),Q28*X28,0)</f>
        <v>0</v>
      </c>
      <c r="X28" s="23" t="n">
        <v>1</v>
      </c>
      <c r="Y28" s="18" t="n">
        <f aca="false">IF(AND(T28="S",ISNUMBER(G28)),G28*X28,0)</f>
        <v>0</v>
      </c>
    </row>
    <row r="29" customFormat="false" ht="15" hidden="false" customHeight="false" outlineLevel="0" collapsed="false">
      <c r="A29" s="14" t="s">
        <v>146</v>
      </c>
      <c r="B29" s="15" t="s">
        <v>147</v>
      </c>
      <c r="C29" s="14" t="s">
        <v>148</v>
      </c>
      <c r="D29" s="14" t="s">
        <v>117</v>
      </c>
      <c r="E29" s="14" t="n">
        <v>2</v>
      </c>
      <c r="F29" s="16" t="n">
        <v>24</v>
      </c>
      <c r="G29" s="17" t="n">
        <v>95.6</v>
      </c>
      <c r="H29" s="18" t="n">
        <f aca="false">IF(ISNUMBER(G29),IFERROR(G29/F29,""),"")</f>
        <v>3.98333333333333</v>
      </c>
      <c r="I29" s="17" t="n">
        <v>7.39</v>
      </c>
      <c r="J29" s="17" t="n">
        <v>7.39</v>
      </c>
      <c r="K29" s="14" t="s">
        <v>93</v>
      </c>
      <c r="L29" s="20" t="n">
        <v>9.9</v>
      </c>
      <c r="M29" s="18" t="n">
        <f aca="false">IFERROR(L29*(1-Premissas!$B$5)*(1-Premissas!$B$6)-H29-Premissas!$B$7,"")</f>
        <v>4.32761666666667</v>
      </c>
      <c r="N29" s="21" t="n">
        <f aca="false">IFERROR(M29/L29,"")</f>
        <v>0.437132996632997</v>
      </c>
      <c r="O29" s="18" t="n">
        <f aca="false">IFERROR(L29*(1-Premissas!$B$8)-Premissas!$B$9-H29-Premissas!$B$7,"")</f>
        <v>-2.52133333333333</v>
      </c>
      <c r="P29" s="18" t="n">
        <f aca="false">IFERROR(L29*(1-Premissas!$B$10)-Premissas!$B$11-H29-Premissas!$B$7,"")</f>
        <v>-1.06333333333333</v>
      </c>
      <c r="Q29" s="18" t="n">
        <f aca="false">IFERROR(M29*F29,"")</f>
        <v>103.8628</v>
      </c>
      <c r="R29" s="22" t="n">
        <f aca="false">IFERROR(IF(M29&gt;0,ROUNDUP(Premissas!$B$12/M29,0),"sem lucro"),"")</f>
        <v>232</v>
      </c>
      <c r="S29" s="15" t="s">
        <v>82</v>
      </c>
      <c r="T29" s="23" t="s">
        <v>76</v>
      </c>
      <c r="U29" s="15"/>
      <c r="V29" s="18" t="n">
        <f aca="false">IF(AND(T29="S",ISNUMBER(L29),ISNUMBER(F29)),L29*F29*X29,0)</f>
        <v>0</v>
      </c>
      <c r="W29" s="18" t="n">
        <f aca="false">IF(AND(T29="S",ISNUMBER(Q29)),Q29*X29,0)</f>
        <v>0</v>
      </c>
      <c r="X29" s="23" t="n">
        <v>1</v>
      </c>
      <c r="Y29" s="18" t="n">
        <f aca="false">IF(AND(T29="S",ISNUMBER(G29)),G29*X29,0)</f>
        <v>0</v>
      </c>
    </row>
    <row r="30" customFormat="false" ht="15" hidden="false" customHeight="false" outlineLevel="0" collapsed="false">
      <c r="A30" s="14" t="s">
        <v>149</v>
      </c>
      <c r="B30" s="15" t="s">
        <v>150</v>
      </c>
      <c r="C30" s="14" t="s">
        <v>148</v>
      </c>
      <c r="D30" s="14" t="s">
        <v>117</v>
      </c>
      <c r="E30" s="14" t="n">
        <v>2</v>
      </c>
      <c r="F30" s="16" t="n">
        <v>24</v>
      </c>
      <c r="G30" s="17" t="n">
        <v>147.5</v>
      </c>
      <c r="H30" s="18" t="n">
        <f aca="false">IF(ISNUMBER(G30),IFERROR(G30/F30,""),"")</f>
        <v>6.14583333333333</v>
      </c>
      <c r="I30" s="17" t="n">
        <v>12.9</v>
      </c>
      <c r="J30" s="17" t="n">
        <v>12.9</v>
      </c>
      <c r="K30" s="19" t="s">
        <v>64</v>
      </c>
      <c r="L30" s="20" t="n">
        <v>12.9</v>
      </c>
      <c r="M30" s="18" t="n">
        <f aca="false">IFERROR(L30*(1-Premissas!$B$5)*(1-Premissas!$B$6)-H30-Premissas!$B$7,"")</f>
        <v>4.98661666666667</v>
      </c>
      <c r="N30" s="21" t="n">
        <f aca="false">IFERROR(M30/L30,"")</f>
        <v>0.386559431524548</v>
      </c>
      <c r="O30" s="18" t="n">
        <f aca="false">IFERROR(L30*(1-Premissas!$B$8)-Premissas!$B$9-H30-Premissas!$B$7,"")</f>
        <v>-2.04383333333333</v>
      </c>
      <c r="P30" s="18" t="n">
        <f aca="false">IFERROR(L30*(1-Premissas!$B$10)-Premissas!$B$11-H30-Premissas!$B$7,"")</f>
        <v>-0.825833333333333</v>
      </c>
      <c r="Q30" s="18" t="n">
        <f aca="false">IFERROR(M30*F30,"")</f>
        <v>119.6788</v>
      </c>
      <c r="R30" s="22" t="n">
        <f aca="false">IFERROR(IF(M30&gt;0,ROUNDUP(Premissas!$B$12/M30,0),"sem lucro"),"")</f>
        <v>201</v>
      </c>
      <c r="S30" s="15" t="s">
        <v>120</v>
      </c>
      <c r="T30" s="23" t="s">
        <v>76</v>
      </c>
      <c r="U30" s="15"/>
      <c r="V30" s="18" t="n">
        <f aca="false">IF(AND(T30="S",ISNUMBER(L30),ISNUMBER(F30)),L30*F30*X30,0)</f>
        <v>0</v>
      </c>
      <c r="W30" s="18" t="n">
        <f aca="false">IF(AND(T30="S",ISNUMBER(Q30)),Q30*X30,0)</f>
        <v>0</v>
      </c>
      <c r="X30" s="23" t="n">
        <v>1</v>
      </c>
      <c r="Y30" s="18" t="n">
        <f aca="false">IF(AND(T30="S",ISNUMBER(G30)),G30*X30,0)</f>
        <v>0</v>
      </c>
    </row>
    <row r="31" customFormat="false" ht="15" hidden="false" customHeight="false" outlineLevel="0" collapsed="false">
      <c r="A31" s="14" t="s">
        <v>151</v>
      </c>
      <c r="B31" s="15" t="s">
        <v>152</v>
      </c>
      <c r="C31" s="14" t="s">
        <v>153</v>
      </c>
      <c r="D31" s="14" t="s">
        <v>63</v>
      </c>
      <c r="E31" s="14" t="n">
        <v>2</v>
      </c>
      <c r="F31" s="16" t="n">
        <v>24</v>
      </c>
      <c r="G31" s="17" t="n">
        <v>113.3</v>
      </c>
      <c r="H31" s="18" t="n">
        <f aca="false">IF(ISNUMBER(G31),IFERROR(G31/F31,""),"")</f>
        <v>4.72083333333333</v>
      </c>
      <c r="I31" s="17" t="n">
        <v>12.9</v>
      </c>
      <c r="J31" s="17" t="n">
        <v>12.9</v>
      </c>
      <c r="K31" s="19" t="s">
        <v>64</v>
      </c>
      <c r="L31" s="20" t="n">
        <v>12.9</v>
      </c>
      <c r="M31" s="18" t="n">
        <f aca="false">IFERROR(L31*(1-Premissas!$B$5)*(1-Premissas!$B$6)-H31-Premissas!$B$7,"")</f>
        <v>6.41161666666667</v>
      </c>
      <c r="N31" s="21" t="n">
        <f aca="false">IFERROR(M31/L31,"")</f>
        <v>0.497024547803617</v>
      </c>
      <c r="O31" s="18" t="n">
        <f aca="false">IFERROR(L31*(1-Premissas!$B$8)-Premissas!$B$9-H31-Premissas!$B$7,"")</f>
        <v>-0.618833333333333</v>
      </c>
      <c r="P31" s="18" t="n">
        <f aca="false">IFERROR(L31*(1-Premissas!$B$10)-Premissas!$B$11-H31-Premissas!$B$7,"")</f>
        <v>0.599166666666667</v>
      </c>
      <c r="Q31" s="18" t="n">
        <f aca="false">IFERROR(M31*F31,"")</f>
        <v>153.8788</v>
      </c>
      <c r="R31" s="22" t="n">
        <f aca="false">IFERROR(IF(M31&gt;0,ROUNDUP(Premissas!$B$12/M31,0),"sem lucro"),"")</f>
        <v>156</v>
      </c>
      <c r="S31" s="15" t="s">
        <v>82</v>
      </c>
      <c r="T31" s="23" t="s">
        <v>76</v>
      </c>
      <c r="U31" s="15"/>
      <c r="V31" s="18" t="n">
        <f aca="false">IF(AND(T31="S",ISNUMBER(L31),ISNUMBER(F31)),L31*F31*X31,0)</f>
        <v>0</v>
      </c>
      <c r="W31" s="18" t="n">
        <f aca="false">IF(AND(T31="S",ISNUMBER(Q31)),Q31*X31,0)</f>
        <v>0</v>
      </c>
      <c r="X31" s="23" t="n">
        <v>1</v>
      </c>
      <c r="Y31" s="18" t="n">
        <f aca="false">IF(AND(T31="S",ISNUMBER(G31)),G31*X31,0)</f>
        <v>0</v>
      </c>
    </row>
    <row r="32" customFormat="false" ht="15" hidden="false" customHeight="false" outlineLevel="0" collapsed="false">
      <c r="A32" s="14" t="s">
        <v>154</v>
      </c>
      <c r="B32" s="15" t="s">
        <v>155</v>
      </c>
      <c r="C32" s="14" t="s">
        <v>156</v>
      </c>
      <c r="D32" s="14" t="s">
        <v>157</v>
      </c>
      <c r="E32" s="14" t="n">
        <v>2</v>
      </c>
      <c r="F32" s="16" t="n">
        <v>24</v>
      </c>
      <c r="G32" s="17" t="n">
        <v>110.8</v>
      </c>
      <c r="H32" s="18" t="n">
        <f aca="false">IF(ISNUMBER(G32),IFERROR(G32/F32,""),"")</f>
        <v>4.61666666666667</v>
      </c>
      <c r="I32" s="17" t="n">
        <v>12</v>
      </c>
      <c r="J32" s="17" t="n">
        <v>15</v>
      </c>
      <c r="K32" s="19" t="s">
        <v>64</v>
      </c>
      <c r="L32" s="20" t="n">
        <v>12.9</v>
      </c>
      <c r="M32" s="18" t="n">
        <f aca="false">IFERROR(L32*(1-Premissas!$B$5)*(1-Premissas!$B$6)-H32-Premissas!$B$7,"")</f>
        <v>6.51578333333333</v>
      </c>
      <c r="N32" s="21" t="n">
        <f aca="false">IFERROR(M32/L32,"")</f>
        <v>0.505099483204134</v>
      </c>
      <c r="O32" s="18" t="n">
        <f aca="false">IFERROR(L32*(1-Premissas!$B$8)-Premissas!$B$9-H32-Premissas!$B$7,"")</f>
        <v>-0.514666666666666</v>
      </c>
      <c r="P32" s="18" t="n">
        <f aca="false">IFERROR(L32*(1-Premissas!$B$10)-Premissas!$B$11-H32-Premissas!$B$7,"")</f>
        <v>0.703333333333334</v>
      </c>
      <c r="Q32" s="18" t="n">
        <f aca="false">IFERROR(M32*F32,"")</f>
        <v>156.3788</v>
      </c>
      <c r="R32" s="22" t="n">
        <f aca="false">IFERROR(IF(M32&gt;0,ROUNDUP(Premissas!$B$12/M32,0),"sem lucro"),"")</f>
        <v>154</v>
      </c>
      <c r="S32" s="15" t="s">
        <v>158</v>
      </c>
      <c r="T32" s="23" t="s">
        <v>66</v>
      </c>
      <c r="U32" s="15"/>
      <c r="V32" s="18" t="n">
        <f aca="false">IF(AND(T32="S",ISNUMBER(L32),ISNUMBER(F32)),L32*F32*X32,0)</f>
        <v>309.6</v>
      </c>
      <c r="W32" s="18" t="n">
        <f aca="false">IF(AND(T32="S",ISNUMBER(Q32)),Q32*X32,0)</f>
        <v>156.3788</v>
      </c>
      <c r="X32" s="23" t="n">
        <v>1</v>
      </c>
      <c r="Y32" s="18" t="n">
        <f aca="false">IF(AND(T32="S",ISNUMBER(G32)),G32*X32,0)</f>
        <v>110.8</v>
      </c>
    </row>
    <row r="33" customFormat="false" ht="15" hidden="false" customHeight="false" outlineLevel="0" collapsed="false">
      <c r="A33" s="14" t="s">
        <v>159</v>
      </c>
      <c r="B33" s="15" t="s">
        <v>160</v>
      </c>
      <c r="C33" s="14" t="s">
        <v>156</v>
      </c>
      <c r="D33" s="14" t="s">
        <v>63</v>
      </c>
      <c r="E33" s="14" t="n">
        <v>2</v>
      </c>
      <c r="F33" s="16" t="n">
        <v>24</v>
      </c>
      <c r="G33" s="17" t="n">
        <v>151.7</v>
      </c>
      <c r="H33" s="18" t="n">
        <f aca="false">IF(ISNUMBER(G33),IFERROR(G33/F33,""),"")</f>
        <v>6.32083333333333</v>
      </c>
      <c r="I33" s="17" t="n">
        <v>15.9</v>
      </c>
      <c r="J33" s="17" t="n">
        <v>15.9</v>
      </c>
      <c r="K33" s="19" t="s">
        <v>64</v>
      </c>
      <c r="L33" s="20" t="n">
        <v>15.9</v>
      </c>
      <c r="M33" s="18" t="n">
        <f aca="false">IFERROR(L33*(1-Premissas!$B$5)*(1-Premissas!$B$6)-H33-Premissas!$B$7,"")</f>
        <v>7.63311666666667</v>
      </c>
      <c r="N33" s="21" t="n">
        <f aca="false">IFERROR(M33/L33,"")</f>
        <v>0.480070230607967</v>
      </c>
      <c r="O33" s="18" t="n">
        <f aca="false">IFERROR(L33*(1-Premissas!$B$8)-Premissas!$B$9-H33-Premissas!$B$7,"")</f>
        <v>0.421166666666668</v>
      </c>
      <c r="P33" s="18" t="n">
        <f aca="false">IFERROR(L33*(1-Premissas!$B$10)-Premissas!$B$11-H33-Premissas!$B$7,"")</f>
        <v>1.39916666666667</v>
      </c>
      <c r="Q33" s="18" t="n">
        <f aca="false">IFERROR(M33*F33,"")</f>
        <v>183.1948</v>
      </c>
      <c r="R33" s="22" t="n">
        <f aca="false">IFERROR(IF(M33&gt;0,ROUNDUP(Premissas!$B$12/M33,0),"sem lucro"),"")</f>
        <v>132</v>
      </c>
      <c r="S33" s="15" t="s">
        <v>65</v>
      </c>
      <c r="T33" s="23" t="s">
        <v>66</v>
      </c>
      <c r="U33" s="15"/>
      <c r="V33" s="18" t="n">
        <f aca="false">IF(AND(T33="S",ISNUMBER(L33),ISNUMBER(F33)),L33*F33*X33,0)</f>
        <v>381.6</v>
      </c>
      <c r="W33" s="18" t="n">
        <f aca="false">IF(AND(T33="S",ISNUMBER(Q33)),Q33*X33,0)</f>
        <v>183.1948</v>
      </c>
      <c r="X33" s="23" t="n">
        <v>1</v>
      </c>
      <c r="Y33" s="18" t="n">
        <f aca="false">IF(AND(T33="S",ISNUMBER(G33)),G33*X33,0)</f>
        <v>151.7</v>
      </c>
    </row>
    <row r="34" customFormat="false" ht="15" hidden="false" customHeight="false" outlineLevel="0" collapsed="false">
      <c r="A34" s="14" t="s">
        <v>161</v>
      </c>
      <c r="B34" s="15" t="s">
        <v>162</v>
      </c>
      <c r="C34" s="14" t="s">
        <v>156</v>
      </c>
      <c r="D34" s="14" t="s">
        <v>117</v>
      </c>
      <c r="E34" s="14" t="n">
        <v>3</v>
      </c>
      <c r="F34" s="16" t="n">
        <v>24</v>
      </c>
      <c r="G34" s="17" t="n">
        <v>131.3</v>
      </c>
      <c r="H34" s="18" t="n">
        <f aca="false">IF(ISNUMBER(G34),IFERROR(G34/F34,""),"")</f>
        <v>5.47083333333333</v>
      </c>
      <c r="I34" s="17" t="n">
        <v>12.9</v>
      </c>
      <c r="J34" s="17" t="n">
        <v>12.9</v>
      </c>
      <c r="K34" s="19" t="s">
        <v>64</v>
      </c>
      <c r="L34" s="20" t="n">
        <v>12.9</v>
      </c>
      <c r="M34" s="18" t="n">
        <f aca="false">IFERROR(L34*(1-Premissas!$B$5)*(1-Premissas!$B$6)-H34-Premissas!$B$7,"")</f>
        <v>5.66161666666666</v>
      </c>
      <c r="N34" s="21" t="n">
        <f aca="false">IFERROR(M34/L34,"")</f>
        <v>0.438885012919896</v>
      </c>
      <c r="O34" s="18" t="n">
        <f aca="false">IFERROR(L34*(1-Premissas!$B$8)-Premissas!$B$9-H34-Premissas!$B$7,"")</f>
        <v>-1.36883333333333</v>
      </c>
      <c r="P34" s="18" t="n">
        <f aca="false">IFERROR(L34*(1-Premissas!$B$10)-Premissas!$B$11-H34-Premissas!$B$7,"")</f>
        <v>-0.150833333333334</v>
      </c>
      <c r="Q34" s="18" t="n">
        <f aca="false">IFERROR(M34*F34,"")</f>
        <v>135.8788</v>
      </c>
      <c r="R34" s="22" t="n">
        <f aca="false">IFERROR(IF(M34&gt;0,ROUNDUP(Premissas!$B$12/M34,0),"sem lucro"),"")</f>
        <v>177</v>
      </c>
      <c r="S34" s="15" t="s">
        <v>163</v>
      </c>
      <c r="T34" s="23" t="s">
        <v>66</v>
      </c>
      <c r="U34" s="15" t="s">
        <v>164</v>
      </c>
      <c r="V34" s="18" t="n">
        <f aca="false">IF(AND(T34="S",ISNUMBER(L34),ISNUMBER(F34)),L34*F34*X34,0)</f>
        <v>309.6</v>
      </c>
      <c r="W34" s="18" t="n">
        <f aca="false">IF(AND(T34="S",ISNUMBER(Q34)),Q34*X34,0)</f>
        <v>135.8788</v>
      </c>
      <c r="X34" s="23" t="n">
        <v>1</v>
      </c>
      <c r="Y34" s="18" t="n">
        <f aca="false">IF(AND(T34="S",ISNUMBER(G34)),G34*X34,0)</f>
        <v>131.3</v>
      </c>
    </row>
    <row r="35" customFormat="false" ht="15" hidden="false" customHeight="false" outlineLevel="0" collapsed="false">
      <c r="A35" s="14" t="s">
        <v>165</v>
      </c>
      <c r="B35" s="15" t="s">
        <v>166</v>
      </c>
      <c r="C35" s="14" t="s">
        <v>167</v>
      </c>
      <c r="D35" s="14" t="s">
        <v>168</v>
      </c>
      <c r="E35" s="14" t="n">
        <v>3</v>
      </c>
      <c r="F35" s="16" t="n">
        <v>1</v>
      </c>
      <c r="G35" s="17" t="n">
        <v>6.5</v>
      </c>
      <c r="H35" s="18" t="n">
        <f aca="false">IF(ISNUMBER(G35),IFERROR(G35/F35,""),"")</f>
        <v>6.5</v>
      </c>
      <c r="I35" s="17" t="n">
        <v>15</v>
      </c>
      <c r="J35" s="17" t="n">
        <v>20</v>
      </c>
      <c r="K35" s="19" t="s">
        <v>64</v>
      </c>
      <c r="L35" s="20" t="n">
        <v>16.9</v>
      </c>
      <c r="M35" s="18" t="n">
        <f aca="false">IFERROR(L35*(1-Premissas!$B$5)*(1-Premissas!$B$6)-H35-Premissas!$B$7,"")</f>
        <v>8.39445</v>
      </c>
      <c r="N35" s="21" t="n">
        <f aca="false">IFERROR(M35/L35,"")</f>
        <v>0.496713017751479</v>
      </c>
      <c r="O35" s="18" t="n">
        <f aca="false">IFERROR(L35*(1-Premissas!$B$8)-Premissas!$B$9-H35-Premissas!$B$7,"")</f>
        <v>1.122</v>
      </c>
      <c r="P35" s="18" t="n">
        <f aca="false">IFERROR(L35*(1-Premissas!$B$10)-Premissas!$B$11-H35-Premissas!$B$7,"")</f>
        <v>2.02</v>
      </c>
      <c r="Q35" s="18" t="n">
        <f aca="false">IFERROR(M35*F35,"")</f>
        <v>8.39445</v>
      </c>
      <c r="R35" s="22" t="n">
        <f aca="false">IFERROR(IF(M35&gt;0,ROUNDUP(Premissas!$B$12/M35,0),"sem lucro"),"")</f>
        <v>120</v>
      </c>
      <c r="S35" s="15" t="s">
        <v>65</v>
      </c>
      <c r="T35" s="23" t="s">
        <v>66</v>
      </c>
      <c r="U35" s="15"/>
      <c r="V35" s="18" t="n">
        <f aca="false">IF(AND(T35="S",ISNUMBER(L35),ISNUMBER(F35)),L35*F35*X35,0)</f>
        <v>202.8</v>
      </c>
      <c r="W35" s="18" t="n">
        <f aca="false">IF(AND(T35="S",ISNUMBER(Q35)),Q35*X35,0)</f>
        <v>100.7334</v>
      </c>
      <c r="X35" s="23" t="n">
        <v>12</v>
      </c>
      <c r="Y35" s="18" t="n">
        <f aca="false">IF(AND(T35="S",ISNUMBER(G35)),G35*X35,0)</f>
        <v>78</v>
      </c>
    </row>
    <row r="36" customFormat="false" ht="15" hidden="false" customHeight="false" outlineLevel="0" collapsed="false">
      <c r="A36" s="14" t="s">
        <v>169</v>
      </c>
      <c r="B36" s="15" t="s">
        <v>170</v>
      </c>
      <c r="C36" s="14" t="s">
        <v>171</v>
      </c>
      <c r="D36" s="14" t="s">
        <v>108</v>
      </c>
      <c r="E36" s="14" t="n">
        <v>3</v>
      </c>
      <c r="F36" s="16" t="n">
        <v>1</v>
      </c>
      <c r="G36" s="17" t="n">
        <v>3.2</v>
      </c>
      <c r="H36" s="18" t="n">
        <f aca="false">IF(ISNUMBER(G36),IFERROR(G36/F36,""),"")</f>
        <v>3.2</v>
      </c>
      <c r="I36" s="17" t="n">
        <v>9.9</v>
      </c>
      <c r="J36" s="17" t="n">
        <v>9.9</v>
      </c>
      <c r="K36" s="19" t="s">
        <v>64</v>
      </c>
      <c r="L36" s="20" t="n">
        <v>9.9</v>
      </c>
      <c r="M36" s="18" t="n">
        <f aca="false">IFERROR(L36*(1-Premissas!$B$5)*(1-Premissas!$B$6)-H36-Premissas!$B$7,"")</f>
        <v>5.11095</v>
      </c>
      <c r="N36" s="21" t="n">
        <f aca="false">IFERROR(M36/L36,"")</f>
        <v>0.516257575757576</v>
      </c>
      <c r="O36" s="18" t="n">
        <f aca="false">IFERROR(L36*(1-Premissas!$B$8)-Premissas!$B$9-H36-Premissas!$B$7,"")</f>
        <v>-1.738</v>
      </c>
      <c r="P36" s="18" t="n">
        <f aca="false">IFERROR(L36*(1-Premissas!$B$10)-Premissas!$B$11-H36-Premissas!$B$7,"")</f>
        <v>-0.279999999999999</v>
      </c>
      <c r="Q36" s="18" t="n">
        <f aca="false">IFERROR(M36*F36,"")</f>
        <v>5.11095</v>
      </c>
      <c r="R36" s="22" t="n">
        <f aca="false">IFERROR(IF(M36&gt;0,ROUNDUP(Premissas!$B$12/M36,0),"sem lucro"),"")</f>
        <v>196</v>
      </c>
      <c r="S36" s="15" t="s">
        <v>82</v>
      </c>
      <c r="T36" s="23" t="s">
        <v>76</v>
      </c>
      <c r="U36" s="15"/>
      <c r="V36" s="18" t="n">
        <f aca="false">IF(AND(T36="S",ISNUMBER(L36),ISNUMBER(F36)),L36*F36*X36,0)</f>
        <v>0</v>
      </c>
      <c r="W36" s="18" t="n">
        <f aca="false">IF(AND(T36="S",ISNUMBER(Q36)),Q36*X36,0)</f>
        <v>0</v>
      </c>
      <c r="X36" s="23" t="n">
        <v>12</v>
      </c>
      <c r="Y36" s="18" t="n">
        <f aca="false">IF(AND(T36="S",ISNUMBER(G36)),G36*X36,0)</f>
        <v>0</v>
      </c>
    </row>
    <row r="37" customFormat="false" ht="15" hidden="false" customHeight="false" outlineLevel="0" collapsed="false">
      <c r="A37" s="14" t="s">
        <v>172</v>
      </c>
      <c r="B37" s="15" t="s">
        <v>173</v>
      </c>
      <c r="C37" s="14" t="s">
        <v>174</v>
      </c>
      <c r="D37" s="14" t="s">
        <v>63</v>
      </c>
      <c r="E37" s="14" t="n">
        <v>3</v>
      </c>
      <c r="F37" s="16" t="n">
        <v>15</v>
      </c>
      <c r="G37" s="17" t="n">
        <v>49.5</v>
      </c>
      <c r="H37" s="18" t="n">
        <f aca="false">IF(ISNUMBER(G37),IFERROR(G37/F37,""),"")</f>
        <v>3.3</v>
      </c>
      <c r="I37" s="17" t="n">
        <v>7.54</v>
      </c>
      <c r="J37" s="17" t="n">
        <v>11.99</v>
      </c>
      <c r="K37" s="14" t="s">
        <v>93</v>
      </c>
      <c r="L37" s="20" t="n">
        <v>11.9</v>
      </c>
      <c r="M37" s="18" t="n">
        <f aca="false">IFERROR(L37*(1-Premissas!$B$5)*(1-Premissas!$B$6)-H37-Premissas!$B$7,"")</f>
        <v>6.89195</v>
      </c>
      <c r="N37" s="21" t="n">
        <f aca="false">IFERROR(M37/L37,"")</f>
        <v>0.579155462184874</v>
      </c>
      <c r="O37" s="18" t="n">
        <f aca="false">IFERROR(L37*(1-Premissas!$B$8)-Premissas!$B$9-H37-Premissas!$B$7,"")</f>
        <v>-0.0780000000000003</v>
      </c>
      <c r="P37" s="18" t="n">
        <f aca="false">IFERROR(L37*(1-Premissas!$B$10)-Premissas!$B$11-H37-Premissas!$B$7,"")</f>
        <v>1.22</v>
      </c>
      <c r="Q37" s="18" t="n">
        <f aca="false">IFERROR(M37*F37,"")</f>
        <v>103.37925</v>
      </c>
      <c r="R37" s="22" t="n">
        <f aca="false">IFERROR(IF(M37&gt;0,ROUNDUP(Premissas!$B$12/M37,0),"sem lucro"),"")</f>
        <v>146</v>
      </c>
      <c r="S37" s="15" t="s">
        <v>65</v>
      </c>
      <c r="T37" s="23" t="s">
        <v>66</v>
      </c>
      <c r="U37" s="15" t="s">
        <v>175</v>
      </c>
      <c r="V37" s="18" t="n">
        <f aca="false">IF(AND(T37="S",ISNUMBER(L37),ISNUMBER(F37)),L37*F37*X37,0)</f>
        <v>178.5</v>
      </c>
      <c r="W37" s="18" t="n">
        <f aca="false">IF(AND(T37="S",ISNUMBER(Q37)),Q37*X37,0)</f>
        <v>103.37925</v>
      </c>
      <c r="X37" s="23" t="n">
        <v>1</v>
      </c>
      <c r="Y37" s="18" t="n">
        <f aca="false">IF(AND(T37="S",ISNUMBER(G37)),G37*X37,0)</f>
        <v>49.5</v>
      </c>
    </row>
    <row r="38" customFormat="false" ht="15" hidden="false" customHeight="false" outlineLevel="0" collapsed="false">
      <c r="A38" s="14" t="s">
        <v>176</v>
      </c>
      <c r="B38" s="15" t="s">
        <v>177</v>
      </c>
      <c r="C38" s="14" t="s">
        <v>178</v>
      </c>
      <c r="D38" s="14" t="s">
        <v>157</v>
      </c>
      <c r="E38" s="14" t="n">
        <v>3</v>
      </c>
      <c r="F38" s="16" t="n">
        <v>24</v>
      </c>
      <c r="G38" s="17" t="n">
        <v>150.6</v>
      </c>
      <c r="H38" s="18" t="n">
        <f aca="false">IF(ISNUMBER(G38),IFERROR(G38/F38,""),"")</f>
        <v>6.275</v>
      </c>
      <c r="I38" s="17" t="n">
        <v>12.9</v>
      </c>
      <c r="J38" s="17" t="n">
        <v>12.9</v>
      </c>
      <c r="K38" s="19" t="s">
        <v>64</v>
      </c>
      <c r="L38" s="20" t="n">
        <v>12.9</v>
      </c>
      <c r="M38" s="18" t="n">
        <f aca="false">IFERROR(L38*(1-Premissas!$B$5)*(1-Premissas!$B$6)-H38-Premissas!$B$7,"")</f>
        <v>4.85745</v>
      </c>
      <c r="N38" s="21" t="n">
        <f aca="false">IFERROR(M38/L38,"")</f>
        <v>0.376546511627907</v>
      </c>
      <c r="O38" s="18" t="n">
        <f aca="false">IFERROR(L38*(1-Premissas!$B$8)-Premissas!$B$9-H38-Premissas!$B$7,"")</f>
        <v>-2.173</v>
      </c>
      <c r="P38" s="18" t="n">
        <f aca="false">IFERROR(L38*(1-Premissas!$B$10)-Premissas!$B$11-H38-Premissas!$B$7,"")</f>
        <v>-0.954999999999999</v>
      </c>
      <c r="Q38" s="18" t="n">
        <f aca="false">IFERROR(M38*F38,"")</f>
        <v>116.5788</v>
      </c>
      <c r="R38" s="22" t="n">
        <f aca="false">IFERROR(IF(M38&gt;0,ROUNDUP(Premissas!$B$12/M38,0),"sem lucro"),"")</f>
        <v>206</v>
      </c>
      <c r="S38" s="15" t="s">
        <v>179</v>
      </c>
      <c r="T38" s="23" t="s">
        <v>66</v>
      </c>
      <c r="U38" s="15"/>
      <c r="V38" s="18" t="n">
        <f aca="false">IF(AND(T38="S",ISNUMBER(L38),ISNUMBER(F38)),L38*F38*X38,0)</f>
        <v>309.6</v>
      </c>
      <c r="W38" s="18" t="n">
        <f aca="false">IF(AND(T38="S",ISNUMBER(Q38)),Q38*X38,0)</f>
        <v>116.5788</v>
      </c>
      <c r="X38" s="23" t="n">
        <v>1</v>
      </c>
      <c r="Y38" s="18" t="n">
        <f aca="false">IF(AND(T38="S",ISNUMBER(G38)),G38*X38,0)</f>
        <v>150.6</v>
      </c>
    </row>
    <row r="39" customFormat="false" ht="15" hidden="false" customHeight="false" outlineLevel="0" collapsed="false">
      <c r="A39" s="14" t="s">
        <v>180</v>
      </c>
      <c r="B39" s="15" t="s">
        <v>181</v>
      </c>
      <c r="C39" s="14" t="s">
        <v>178</v>
      </c>
      <c r="D39" s="14" t="s">
        <v>157</v>
      </c>
      <c r="E39" s="14" t="n">
        <v>3</v>
      </c>
      <c r="F39" s="16" t="n">
        <v>24</v>
      </c>
      <c r="G39" s="17" t="n">
        <v>138.2</v>
      </c>
      <c r="H39" s="18" t="n">
        <f aca="false">IF(ISNUMBER(G39),IFERROR(G39/F39,""),"")</f>
        <v>5.75833333333333</v>
      </c>
      <c r="I39" s="17" t="n">
        <v>12.9</v>
      </c>
      <c r="J39" s="17" t="n">
        <v>12.9</v>
      </c>
      <c r="K39" s="19" t="s">
        <v>64</v>
      </c>
      <c r="L39" s="20" t="n">
        <v>12.9</v>
      </c>
      <c r="M39" s="18" t="n">
        <f aca="false">IFERROR(L39*(1-Premissas!$B$5)*(1-Premissas!$B$6)-H39-Premissas!$B$7,"")</f>
        <v>5.37411666666667</v>
      </c>
      <c r="N39" s="21" t="n">
        <f aca="false">IFERROR(M39/L39,"")</f>
        <v>0.41659819121447</v>
      </c>
      <c r="O39" s="18" t="n">
        <f aca="false">IFERROR(L39*(1-Premissas!$B$8)-Premissas!$B$9-H39-Premissas!$B$7,"")</f>
        <v>-1.65633333333333</v>
      </c>
      <c r="P39" s="18" t="n">
        <f aca="false">IFERROR(L39*(1-Premissas!$B$10)-Premissas!$B$11-H39-Premissas!$B$7,"")</f>
        <v>-0.438333333333333</v>
      </c>
      <c r="Q39" s="18" t="n">
        <f aca="false">IFERROR(M39*F39,"")</f>
        <v>128.9788</v>
      </c>
      <c r="R39" s="22" t="n">
        <f aca="false">IFERROR(IF(M39&gt;0,ROUNDUP(Premissas!$B$12/M39,0),"sem lucro"),"")</f>
        <v>187</v>
      </c>
      <c r="S39" s="15" t="s">
        <v>179</v>
      </c>
      <c r="T39" s="23" t="s">
        <v>66</v>
      </c>
      <c r="U39" s="15"/>
      <c r="V39" s="18" t="n">
        <f aca="false">IF(AND(T39="S",ISNUMBER(L39),ISNUMBER(F39)),L39*F39*X39,0)</f>
        <v>309.6</v>
      </c>
      <c r="W39" s="18" t="n">
        <f aca="false">IF(AND(T39="S",ISNUMBER(Q39)),Q39*X39,0)</f>
        <v>128.9788</v>
      </c>
      <c r="X39" s="23" t="n">
        <v>1</v>
      </c>
      <c r="Y39" s="18" t="n">
        <f aca="false">IF(AND(T39="S",ISNUMBER(G39)),G39*X39,0)</f>
        <v>138.2</v>
      </c>
    </row>
    <row r="40" customFormat="false" ht="15" hidden="false" customHeight="false" outlineLevel="0" collapsed="false">
      <c r="A40" s="14" t="s">
        <v>182</v>
      </c>
      <c r="B40" s="15" t="s">
        <v>183</v>
      </c>
      <c r="C40" s="14" t="s">
        <v>178</v>
      </c>
      <c r="D40" s="14" t="s">
        <v>117</v>
      </c>
      <c r="E40" s="14" t="n">
        <v>3</v>
      </c>
      <c r="F40" s="16" t="n">
        <v>24</v>
      </c>
      <c r="G40" s="17" t="n">
        <v>153.6</v>
      </c>
      <c r="H40" s="18" t="n">
        <f aca="false">IF(ISNUMBER(G40),IFERROR(G40/F40,""),"")</f>
        <v>6.4</v>
      </c>
      <c r="I40" s="17" t="n">
        <v>7.52</v>
      </c>
      <c r="J40" s="17" t="n">
        <v>10</v>
      </c>
      <c r="K40" s="14" t="s">
        <v>93</v>
      </c>
      <c r="L40" s="20" t="n">
        <v>11.9</v>
      </c>
      <c r="M40" s="18" t="n">
        <f aca="false">IFERROR(L40*(1-Premissas!$B$5)*(1-Premissas!$B$6)-H40-Premissas!$B$7,"")</f>
        <v>3.79195</v>
      </c>
      <c r="N40" s="21" t="n">
        <f aca="false">IFERROR(M40/L40,"")</f>
        <v>0.318651260504202</v>
      </c>
      <c r="O40" s="18" t="n">
        <f aca="false">IFERROR(L40*(1-Premissas!$B$8)-Premissas!$B$9-H40-Premissas!$B$7,"")</f>
        <v>-3.178</v>
      </c>
      <c r="P40" s="18" t="n">
        <f aca="false">IFERROR(L40*(1-Premissas!$B$10)-Premissas!$B$11-H40-Premissas!$B$7,"")</f>
        <v>-1.88</v>
      </c>
      <c r="Q40" s="18" t="n">
        <f aca="false">IFERROR(M40*F40,"")</f>
        <v>91.0068</v>
      </c>
      <c r="R40" s="22" t="n">
        <f aca="false">IFERROR(IF(M40&gt;0,ROUNDUP(Premissas!$B$12/M40,0),"sem lucro"),"")</f>
        <v>264</v>
      </c>
      <c r="S40" s="15" t="s">
        <v>184</v>
      </c>
      <c r="T40" s="23" t="s">
        <v>76</v>
      </c>
      <c r="U40" s="15" t="s">
        <v>185</v>
      </c>
      <c r="V40" s="18" t="n">
        <f aca="false">IF(AND(T40="S",ISNUMBER(L40),ISNUMBER(F40)),L40*F40*X40,0)</f>
        <v>0</v>
      </c>
      <c r="W40" s="18" t="n">
        <f aca="false">IF(AND(T40="S",ISNUMBER(Q40)),Q40*X40,0)</f>
        <v>0</v>
      </c>
      <c r="X40" s="23" t="n">
        <v>1</v>
      </c>
      <c r="Y40" s="18" t="n">
        <f aca="false">IF(AND(T40="S",ISNUMBER(G40)),G40*X40,0)</f>
        <v>0</v>
      </c>
    </row>
    <row r="41" customFormat="false" ht="15" hidden="false" customHeight="false" outlineLevel="0" collapsed="false">
      <c r="A41" s="14" t="s">
        <v>186</v>
      </c>
      <c r="B41" s="15" t="s">
        <v>187</v>
      </c>
      <c r="C41" s="14" t="s">
        <v>178</v>
      </c>
      <c r="D41" s="14" t="s">
        <v>117</v>
      </c>
      <c r="E41" s="14" t="n">
        <v>3</v>
      </c>
      <c r="F41" s="16" t="n">
        <v>24</v>
      </c>
      <c r="G41" s="17" t="n">
        <v>153.6</v>
      </c>
      <c r="H41" s="18" t="n">
        <f aca="false">IF(ISNUMBER(G41),IFERROR(G41/F41,""),"")</f>
        <v>6.4</v>
      </c>
      <c r="I41" s="17" t="n">
        <v>7.52</v>
      </c>
      <c r="J41" s="17" t="n">
        <v>10</v>
      </c>
      <c r="K41" s="14" t="s">
        <v>93</v>
      </c>
      <c r="L41" s="20" t="n">
        <v>11.9</v>
      </c>
      <c r="M41" s="18" t="n">
        <f aca="false">IFERROR(L41*(1-Premissas!$B$5)*(1-Premissas!$B$6)-H41-Premissas!$B$7,"")</f>
        <v>3.79195</v>
      </c>
      <c r="N41" s="21" t="n">
        <f aca="false">IFERROR(M41/L41,"")</f>
        <v>0.318651260504202</v>
      </c>
      <c r="O41" s="18" t="n">
        <f aca="false">IFERROR(L41*(1-Premissas!$B$8)-Premissas!$B$9-H41-Premissas!$B$7,"")</f>
        <v>-3.178</v>
      </c>
      <c r="P41" s="18" t="n">
        <f aca="false">IFERROR(L41*(1-Premissas!$B$10)-Premissas!$B$11-H41-Premissas!$B$7,"")</f>
        <v>-1.88</v>
      </c>
      <c r="Q41" s="18" t="n">
        <f aca="false">IFERROR(M41*F41,"")</f>
        <v>91.0068</v>
      </c>
      <c r="R41" s="22" t="n">
        <f aca="false">IFERROR(IF(M41&gt;0,ROUNDUP(Premissas!$B$12/M41,0),"sem lucro"),"")</f>
        <v>264</v>
      </c>
      <c r="S41" s="15" t="s">
        <v>184</v>
      </c>
      <c r="T41" s="23" t="s">
        <v>76</v>
      </c>
      <c r="U41" s="15" t="s">
        <v>185</v>
      </c>
      <c r="V41" s="18" t="n">
        <f aca="false">IF(AND(T41="S",ISNUMBER(L41),ISNUMBER(F41)),L41*F41*X41,0)</f>
        <v>0</v>
      </c>
      <c r="W41" s="18" t="n">
        <f aca="false">IF(AND(T41="S",ISNUMBER(Q41)),Q41*X41,0)</f>
        <v>0</v>
      </c>
      <c r="X41" s="23" t="n">
        <v>1</v>
      </c>
      <c r="Y41" s="18" t="n">
        <f aca="false">IF(AND(T41="S",ISNUMBER(G41)),G41*X41,0)</f>
        <v>0</v>
      </c>
    </row>
    <row r="42" customFormat="false" ht="15" hidden="false" customHeight="false" outlineLevel="0" collapsed="false">
      <c r="A42" s="14" t="s">
        <v>188</v>
      </c>
      <c r="B42" s="15" t="s">
        <v>189</v>
      </c>
      <c r="C42" s="14" t="s">
        <v>178</v>
      </c>
      <c r="D42" s="14" t="s">
        <v>117</v>
      </c>
      <c r="E42" s="14" t="n">
        <v>3</v>
      </c>
      <c r="F42" s="16" t="n">
        <v>24</v>
      </c>
      <c r="G42" s="17" t="n">
        <v>144.4</v>
      </c>
      <c r="H42" s="18" t="n">
        <f aca="false">IF(ISNUMBER(G42),IFERROR(G42/F42,""),"")</f>
        <v>6.01666666666667</v>
      </c>
      <c r="I42" s="17" t="n">
        <v>7.52</v>
      </c>
      <c r="J42" s="17" t="n">
        <v>10</v>
      </c>
      <c r="K42" s="14" t="s">
        <v>93</v>
      </c>
      <c r="L42" s="20" t="n">
        <v>11.9</v>
      </c>
      <c r="M42" s="18" t="n">
        <f aca="false">IFERROR(L42*(1-Premissas!$B$5)*(1-Premissas!$B$6)-H42-Premissas!$B$7,"")</f>
        <v>4.17528333333333</v>
      </c>
      <c r="N42" s="21" t="n">
        <f aca="false">IFERROR(M42/L42,"")</f>
        <v>0.350864145658263</v>
      </c>
      <c r="O42" s="18" t="n">
        <f aca="false">IFERROR(L42*(1-Premissas!$B$8)-Premissas!$B$9-H42-Premissas!$B$7,"")</f>
        <v>-2.79466666666667</v>
      </c>
      <c r="P42" s="18" t="n">
        <f aca="false">IFERROR(L42*(1-Premissas!$B$10)-Premissas!$B$11-H42-Premissas!$B$7,"")</f>
        <v>-1.49666666666667</v>
      </c>
      <c r="Q42" s="18" t="n">
        <f aca="false">IFERROR(M42*F42,"")</f>
        <v>100.2068</v>
      </c>
      <c r="R42" s="22" t="n">
        <f aca="false">IFERROR(IF(M42&gt;0,ROUNDUP(Premissas!$B$12/M42,0),"sem lucro"),"")</f>
        <v>240</v>
      </c>
      <c r="S42" s="15" t="s">
        <v>184</v>
      </c>
      <c r="T42" s="23" t="s">
        <v>76</v>
      </c>
      <c r="U42" s="15"/>
      <c r="V42" s="18" t="n">
        <f aca="false">IF(AND(T42="S",ISNUMBER(L42),ISNUMBER(F42)),L42*F42*X42,0)</f>
        <v>0</v>
      </c>
      <c r="W42" s="18" t="n">
        <f aca="false">IF(AND(T42="S",ISNUMBER(Q42)),Q42*X42,0)</f>
        <v>0</v>
      </c>
      <c r="X42" s="23" t="n">
        <v>1</v>
      </c>
      <c r="Y42" s="18" t="n">
        <f aca="false">IF(AND(T42="S",ISNUMBER(G42)),G42*X42,0)</f>
        <v>0</v>
      </c>
    </row>
    <row r="43" customFormat="false" ht="15" hidden="false" customHeight="false" outlineLevel="0" collapsed="false">
      <c r="A43" s="14" t="s">
        <v>190</v>
      </c>
      <c r="B43" s="15" t="s">
        <v>191</v>
      </c>
      <c r="C43" s="14" t="s">
        <v>178</v>
      </c>
      <c r="D43" s="14" t="s">
        <v>117</v>
      </c>
      <c r="E43" s="14" t="n">
        <v>3</v>
      </c>
      <c r="F43" s="16" t="n">
        <v>24</v>
      </c>
      <c r="G43" s="17" t="n">
        <v>138.2</v>
      </c>
      <c r="H43" s="18" t="n">
        <f aca="false">IF(ISNUMBER(G43),IFERROR(G43/F43,""),"")</f>
        <v>5.75833333333333</v>
      </c>
      <c r="I43" s="17" t="n">
        <v>7.52</v>
      </c>
      <c r="J43" s="17" t="n">
        <v>10</v>
      </c>
      <c r="K43" s="14" t="s">
        <v>93</v>
      </c>
      <c r="L43" s="20" t="n">
        <v>11.9</v>
      </c>
      <c r="M43" s="18" t="n">
        <f aca="false">IFERROR(L43*(1-Premissas!$B$5)*(1-Premissas!$B$6)-H43-Premissas!$B$7,"")</f>
        <v>4.43361666666667</v>
      </c>
      <c r="N43" s="21" t="n">
        <f aca="false">IFERROR(M43/L43,"")</f>
        <v>0.372572829131653</v>
      </c>
      <c r="O43" s="18" t="n">
        <f aca="false">IFERROR(L43*(1-Premissas!$B$8)-Premissas!$B$9-H43-Premissas!$B$7,"")</f>
        <v>-2.53633333333333</v>
      </c>
      <c r="P43" s="18" t="n">
        <f aca="false">IFERROR(L43*(1-Premissas!$B$10)-Premissas!$B$11-H43-Premissas!$B$7,"")</f>
        <v>-1.23833333333333</v>
      </c>
      <c r="Q43" s="18" t="n">
        <f aca="false">IFERROR(M43*F43,"")</f>
        <v>106.4068</v>
      </c>
      <c r="R43" s="22" t="n">
        <f aca="false">IFERROR(IF(M43&gt;0,ROUNDUP(Premissas!$B$12/M43,0),"sem lucro"),"")</f>
        <v>226</v>
      </c>
      <c r="S43" s="15" t="s">
        <v>163</v>
      </c>
      <c r="T43" s="23" t="s">
        <v>66</v>
      </c>
      <c r="U43" s="15" t="s">
        <v>192</v>
      </c>
      <c r="V43" s="18" t="n">
        <f aca="false">IF(AND(T43="S",ISNUMBER(L43),ISNUMBER(F43)),L43*F43*X43,0)</f>
        <v>285.6</v>
      </c>
      <c r="W43" s="18" t="n">
        <f aca="false">IF(AND(T43="S",ISNUMBER(Q43)),Q43*X43,0)</f>
        <v>106.4068</v>
      </c>
      <c r="X43" s="23" t="n">
        <v>1</v>
      </c>
      <c r="Y43" s="18" t="n">
        <f aca="false">IF(AND(T43="S",ISNUMBER(G43)),G43*X43,0)</f>
        <v>138.2</v>
      </c>
    </row>
    <row r="44" customFormat="false" ht="15" hidden="false" customHeight="false" outlineLevel="0" collapsed="false">
      <c r="A44" s="14" t="s">
        <v>193</v>
      </c>
      <c r="B44" s="15" t="s">
        <v>194</v>
      </c>
      <c r="C44" s="14" t="s">
        <v>195</v>
      </c>
      <c r="D44" s="14" t="s">
        <v>117</v>
      </c>
      <c r="E44" s="14" t="n">
        <v>3</v>
      </c>
      <c r="F44" s="16" t="n">
        <v>24</v>
      </c>
      <c r="G44" s="17" t="n">
        <v>166.3</v>
      </c>
      <c r="H44" s="18" t="n">
        <f aca="false">IF(ISNUMBER(G44),IFERROR(G44/F44,""),"")</f>
        <v>6.92916666666667</v>
      </c>
      <c r="I44" s="17" t="n">
        <v>12.9</v>
      </c>
      <c r="J44" s="17" t="n">
        <v>12.9</v>
      </c>
      <c r="K44" s="19" t="s">
        <v>64</v>
      </c>
      <c r="L44" s="20" t="n">
        <v>12.9</v>
      </c>
      <c r="M44" s="18" t="n">
        <f aca="false">IFERROR(L44*(1-Premissas!$B$5)*(1-Premissas!$B$6)-H44-Premissas!$B$7,"")</f>
        <v>4.20328333333333</v>
      </c>
      <c r="N44" s="21" t="n">
        <f aca="false">IFERROR(M44/L44,"")</f>
        <v>0.325835917312661</v>
      </c>
      <c r="O44" s="18" t="n">
        <f aca="false">IFERROR(L44*(1-Premissas!$B$8)-Premissas!$B$9-H44-Premissas!$B$7,"")</f>
        <v>-2.82716666666667</v>
      </c>
      <c r="P44" s="18" t="n">
        <f aca="false">IFERROR(L44*(1-Premissas!$B$10)-Premissas!$B$11-H44-Premissas!$B$7,"")</f>
        <v>-1.60916666666667</v>
      </c>
      <c r="Q44" s="18" t="n">
        <f aca="false">IFERROR(M44*F44,"")</f>
        <v>100.8788</v>
      </c>
      <c r="R44" s="22" t="n">
        <f aca="false">IFERROR(IF(M44&gt;0,ROUNDUP(Premissas!$B$12/M44,0),"sem lucro"),"")</f>
        <v>238</v>
      </c>
      <c r="S44" s="15" t="s">
        <v>120</v>
      </c>
      <c r="T44" s="23" t="s">
        <v>76</v>
      </c>
      <c r="U44" s="15"/>
      <c r="V44" s="18" t="n">
        <f aca="false">IF(AND(T44="S",ISNUMBER(L44),ISNUMBER(F44)),L44*F44*X44,0)</f>
        <v>0</v>
      </c>
      <c r="W44" s="18" t="n">
        <f aca="false">IF(AND(T44="S",ISNUMBER(Q44)),Q44*X44,0)</f>
        <v>0</v>
      </c>
      <c r="X44" s="23" t="n">
        <v>1</v>
      </c>
      <c r="Y44" s="18" t="n">
        <f aca="false">IF(AND(T44="S",ISNUMBER(G44)),G44*X44,0)</f>
        <v>0</v>
      </c>
    </row>
    <row r="45" customFormat="false" ht="15" hidden="false" customHeight="false" outlineLevel="0" collapsed="false">
      <c r="A45" s="14" t="s">
        <v>196</v>
      </c>
      <c r="B45" s="15" t="s">
        <v>197</v>
      </c>
      <c r="C45" s="14" t="s">
        <v>198</v>
      </c>
      <c r="D45" s="14" t="s">
        <v>141</v>
      </c>
      <c r="E45" s="14" t="n">
        <v>3</v>
      </c>
      <c r="F45" s="16" t="n">
        <v>1</v>
      </c>
      <c r="G45" s="17" t="n">
        <v>5.7</v>
      </c>
      <c r="H45" s="18" t="n">
        <f aca="false">IF(ISNUMBER(G45),IFERROR(G45/F45,""),"")</f>
        <v>5.7</v>
      </c>
      <c r="I45" s="17" t="n">
        <v>14.9</v>
      </c>
      <c r="J45" s="17" t="n">
        <v>14.9</v>
      </c>
      <c r="K45" s="19" t="s">
        <v>64</v>
      </c>
      <c r="L45" s="20" t="n">
        <v>14.9</v>
      </c>
      <c r="M45" s="18" t="n">
        <f aca="false">IFERROR(L45*(1-Premissas!$B$5)*(1-Premissas!$B$6)-H45-Premissas!$B$7,"")</f>
        <v>7.31345</v>
      </c>
      <c r="N45" s="21" t="n">
        <f aca="false">IFERROR(M45/L45,"")</f>
        <v>0.490835570469799</v>
      </c>
      <c r="O45" s="18" t="n">
        <f aca="false">IFERROR(L45*(1-Premissas!$B$8)-Premissas!$B$9-H45-Premissas!$B$7,"")</f>
        <v>0.162</v>
      </c>
      <c r="P45" s="18" t="n">
        <f aca="false">IFERROR(L45*(1-Premissas!$B$10)-Premissas!$B$11-H45-Premissas!$B$7,"")</f>
        <v>1.22</v>
      </c>
      <c r="Q45" s="18" t="n">
        <f aca="false">IFERROR(M45*F45,"")</f>
        <v>7.31345</v>
      </c>
      <c r="R45" s="22" t="n">
        <f aca="false">IFERROR(IF(M45&gt;0,ROUNDUP(Premissas!$B$12/M45,0),"sem lucro"),"")</f>
        <v>137</v>
      </c>
      <c r="S45" s="15" t="s">
        <v>65</v>
      </c>
      <c r="T45" s="23" t="s">
        <v>66</v>
      </c>
      <c r="U45" s="15"/>
      <c r="V45" s="18" t="n">
        <f aca="false">IF(AND(T45="S",ISNUMBER(L45),ISNUMBER(F45)),L45*F45*X45,0)</f>
        <v>178.8</v>
      </c>
      <c r="W45" s="18" t="n">
        <f aca="false">IF(AND(T45="S",ISNUMBER(Q45)),Q45*X45,0)</f>
        <v>87.7614</v>
      </c>
      <c r="X45" s="23" t="n">
        <v>12</v>
      </c>
      <c r="Y45" s="18" t="n">
        <f aca="false">IF(AND(T45="S",ISNUMBER(G45)),G45*X45,0)</f>
        <v>68.4</v>
      </c>
    </row>
    <row r="46" customFormat="false" ht="26.85" hidden="false" customHeight="false" outlineLevel="0" collapsed="false">
      <c r="A46" s="14" t="s">
        <v>199</v>
      </c>
      <c r="B46" s="15" t="s">
        <v>200</v>
      </c>
      <c r="C46" s="14" t="s">
        <v>201</v>
      </c>
      <c r="D46" s="14" t="s">
        <v>141</v>
      </c>
      <c r="E46" s="14" t="n">
        <v>4</v>
      </c>
      <c r="F46" s="16" t="n">
        <v>1</v>
      </c>
      <c r="G46" s="17" t="n">
        <v>6.2</v>
      </c>
      <c r="H46" s="18" t="n">
        <f aca="false">IF(ISNUMBER(G46),IFERROR(G46/F46,""),"")</f>
        <v>6.2</v>
      </c>
      <c r="I46" s="17" t="n">
        <v>14.9</v>
      </c>
      <c r="J46" s="17" t="n">
        <v>19.9</v>
      </c>
      <c r="K46" s="19" t="s">
        <v>64</v>
      </c>
      <c r="L46" s="20" t="n">
        <v>16.9</v>
      </c>
      <c r="M46" s="18" t="n">
        <f aca="false">IFERROR(L46*(1-Premissas!$B$5)*(1-Premissas!$B$6)-H46-Premissas!$B$7,"")</f>
        <v>8.69445</v>
      </c>
      <c r="N46" s="21" t="n">
        <f aca="false">IFERROR(M46/L46,"")</f>
        <v>0.51446449704142</v>
      </c>
      <c r="O46" s="18" t="n">
        <f aca="false">IFERROR(L46*(1-Premissas!$B$8)-Premissas!$B$9-H46-Premissas!$B$7,"")</f>
        <v>1.422</v>
      </c>
      <c r="P46" s="18" t="n">
        <f aca="false">IFERROR(L46*(1-Premissas!$B$10)-Premissas!$B$11-H46-Premissas!$B$7,"")</f>
        <v>2.32</v>
      </c>
      <c r="Q46" s="18" t="n">
        <f aca="false">IFERROR(M46*F46,"")</f>
        <v>8.69445</v>
      </c>
      <c r="R46" s="22" t="n">
        <f aca="false">IFERROR(IF(M46&gt;0,ROUNDUP(Premissas!$B$12/M46,0),"sem lucro"),"")</f>
        <v>116</v>
      </c>
      <c r="S46" s="15" t="s">
        <v>65</v>
      </c>
      <c r="T46" s="23" t="s">
        <v>66</v>
      </c>
      <c r="U46" s="15" t="s">
        <v>202</v>
      </c>
      <c r="V46" s="18" t="n">
        <f aca="false">IF(AND(T46="S",ISNUMBER(L46),ISNUMBER(F46)),L46*F46*X46,0)</f>
        <v>202.8</v>
      </c>
      <c r="W46" s="18" t="n">
        <f aca="false">IF(AND(T46="S",ISNUMBER(Q46)),Q46*X46,0)</f>
        <v>104.3334</v>
      </c>
      <c r="X46" s="23" t="n">
        <v>12</v>
      </c>
      <c r="Y46" s="18" t="n">
        <f aca="false">IF(AND(T46="S",ISNUMBER(G46)),G46*X46,0)</f>
        <v>74.4</v>
      </c>
    </row>
    <row r="47" customFormat="false" ht="15" hidden="false" customHeight="false" outlineLevel="0" collapsed="false">
      <c r="A47" s="14" t="s">
        <v>203</v>
      </c>
      <c r="B47" s="15" t="s">
        <v>204</v>
      </c>
      <c r="C47" s="14" t="s">
        <v>201</v>
      </c>
      <c r="D47" s="14" t="s">
        <v>141</v>
      </c>
      <c r="E47" s="14" t="n">
        <v>4</v>
      </c>
      <c r="F47" s="16" t="n">
        <v>1</v>
      </c>
      <c r="G47" s="17" t="n">
        <v>6.5</v>
      </c>
      <c r="H47" s="18" t="n">
        <f aca="false">IF(ISNUMBER(G47),IFERROR(G47/F47,""),"")</f>
        <v>6.5</v>
      </c>
      <c r="I47" s="17" t="n">
        <v>14.9</v>
      </c>
      <c r="J47" s="17" t="n">
        <v>19.9</v>
      </c>
      <c r="K47" s="19" t="s">
        <v>64</v>
      </c>
      <c r="L47" s="20" t="n">
        <v>16.9</v>
      </c>
      <c r="M47" s="18" t="n">
        <f aca="false">IFERROR(L47*(1-Premissas!$B$5)*(1-Premissas!$B$6)-H47-Premissas!$B$7,"")</f>
        <v>8.39445</v>
      </c>
      <c r="N47" s="21" t="n">
        <f aca="false">IFERROR(M47/L47,"")</f>
        <v>0.496713017751479</v>
      </c>
      <c r="O47" s="18" t="n">
        <f aca="false">IFERROR(L47*(1-Premissas!$B$8)-Premissas!$B$9-H47-Premissas!$B$7,"")</f>
        <v>1.122</v>
      </c>
      <c r="P47" s="18" t="n">
        <f aca="false">IFERROR(L47*(1-Premissas!$B$10)-Premissas!$B$11-H47-Premissas!$B$7,"")</f>
        <v>2.02</v>
      </c>
      <c r="Q47" s="18" t="n">
        <f aca="false">IFERROR(M47*F47,"")</f>
        <v>8.39445</v>
      </c>
      <c r="R47" s="22" t="n">
        <f aca="false">IFERROR(IF(M47&gt;0,ROUNDUP(Premissas!$B$12/M47,0),"sem lucro"),"")</f>
        <v>120</v>
      </c>
      <c r="S47" s="15" t="s">
        <v>82</v>
      </c>
      <c r="T47" s="23" t="s">
        <v>76</v>
      </c>
      <c r="U47" s="15"/>
      <c r="V47" s="18" t="n">
        <f aca="false">IF(AND(T47="S",ISNUMBER(L47),ISNUMBER(F47)),L47*F47*X47,0)</f>
        <v>0</v>
      </c>
      <c r="W47" s="18" t="n">
        <f aca="false">IF(AND(T47="S",ISNUMBER(Q47)),Q47*X47,0)</f>
        <v>0</v>
      </c>
      <c r="X47" s="23" t="n">
        <v>12</v>
      </c>
      <c r="Y47" s="18" t="n">
        <f aca="false">IF(AND(T47="S",ISNUMBER(G47)),G47*X47,0)</f>
        <v>0</v>
      </c>
    </row>
    <row r="48" customFormat="false" ht="15" hidden="false" customHeight="false" outlineLevel="0" collapsed="false">
      <c r="A48" s="14" t="s">
        <v>205</v>
      </c>
      <c r="B48" s="15" t="s">
        <v>206</v>
      </c>
      <c r="C48" s="14" t="s">
        <v>207</v>
      </c>
      <c r="D48" s="14" t="s">
        <v>117</v>
      </c>
      <c r="E48" s="14" t="n">
        <v>4</v>
      </c>
      <c r="F48" s="16" t="n">
        <v>48</v>
      </c>
      <c r="G48" s="17" t="n">
        <v>252.8</v>
      </c>
      <c r="H48" s="18" t="n">
        <f aca="false">IF(ISNUMBER(G48),IFERROR(G48/F48,""),"")</f>
        <v>5.26666666666667</v>
      </c>
      <c r="I48" s="17" t="n">
        <v>10</v>
      </c>
      <c r="J48" s="17" t="n">
        <v>24.99</v>
      </c>
      <c r="K48" s="19" t="s">
        <v>64</v>
      </c>
      <c r="L48" s="20" t="n">
        <v>14.9</v>
      </c>
      <c r="M48" s="18" t="n">
        <f aca="false">IFERROR(L48*(1-Premissas!$B$5)*(1-Premissas!$B$6)-H48-Premissas!$B$7,"")</f>
        <v>7.74678333333333</v>
      </c>
      <c r="N48" s="21" t="n">
        <f aca="false">IFERROR(M48/L48,"")</f>
        <v>0.519918344519016</v>
      </c>
      <c r="O48" s="18" t="n">
        <f aca="false">IFERROR(L48*(1-Premissas!$B$8)-Premissas!$B$9-H48-Premissas!$B$7,"")</f>
        <v>0.595333333333334</v>
      </c>
      <c r="P48" s="18" t="n">
        <f aca="false">IFERROR(L48*(1-Premissas!$B$10)-Premissas!$B$11-H48-Premissas!$B$7,"")</f>
        <v>1.65333333333334</v>
      </c>
      <c r="Q48" s="18" t="n">
        <f aca="false">IFERROR(M48*F48,"")</f>
        <v>371.8456</v>
      </c>
      <c r="R48" s="22" t="n">
        <f aca="false">IFERROR(IF(M48&gt;0,ROUNDUP(Premissas!$B$12/M48,0),"sem lucro"),"")</f>
        <v>130</v>
      </c>
      <c r="S48" s="15" t="s">
        <v>82</v>
      </c>
      <c r="T48" s="23" t="s">
        <v>76</v>
      </c>
      <c r="U48" s="15" t="s">
        <v>208</v>
      </c>
      <c r="V48" s="18" t="n">
        <f aca="false">IF(AND(T48="S",ISNUMBER(L48),ISNUMBER(F48)),L48*F48*X48,0)</f>
        <v>0</v>
      </c>
      <c r="W48" s="18" t="n">
        <f aca="false">IF(AND(T48="S",ISNUMBER(Q48)),Q48*X48,0)</f>
        <v>0</v>
      </c>
      <c r="X48" s="23" t="n">
        <v>1</v>
      </c>
      <c r="Y48" s="18" t="n">
        <f aca="false">IF(AND(T48="S",ISNUMBER(G48)),G48*X48,0)</f>
        <v>0</v>
      </c>
    </row>
    <row r="49" customFormat="false" ht="15" hidden="false" customHeight="false" outlineLevel="0" collapsed="false">
      <c r="A49" s="14" t="s">
        <v>209</v>
      </c>
      <c r="B49" s="15" t="s">
        <v>210</v>
      </c>
      <c r="C49" s="14" t="s">
        <v>207</v>
      </c>
      <c r="D49" s="14" t="s">
        <v>117</v>
      </c>
      <c r="E49" s="14" t="n">
        <v>4</v>
      </c>
      <c r="F49" s="16" t="n">
        <v>24</v>
      </c>
      <c r="G49" s="17" t="n">
        <v>158.8</v>
      </c>
      <c r="H49" s="18" t="n">
        <f aca="false">IF(ISNUMBER(G49),IFERROR(G49/F49,""),"")</f>
        <v>6.61666666666667</v>
      </c>
      <c r="I49" s="17" t="n">
        <v>10</v>
      </c>
      <c r="J49" s="17" t="n">
        <v>24.99</v>
      </c>
      <c r="K49" s="19" t="s">
        <v>64</v>
      </c>
      <c r="L49" s="20" t="n">
        <v>14.9</v>
      </c>
      <c r="M49" s="18" t="n">
        <f aca="false">IFERROR(L49*(1-Premissas!$B$5)*(1-Premissas!$B$6)-H49-Premissas!$B$7,"")</f>
        <v>6.39678333333333</v>
      </c>
      <c r="N49" s="21" t="n">
        <f aca="false">IFERROR(M49/L49,"")</f>
        <v>0.429314317673378</v>
      </c>
      <c r="O49" s="18" t="n">
        <f aca="false">IFERROR(L49*(1-Premissas!$B$8)-Premissas!$B$9-H49-Premissas!$B$7,"")</f>
        <v>-0.754666666666667</v>
      </c>
      <c r="P49" s="18" t="n">
        <f aca="false">IFERROR(L49*(1-Premissas!$B$10)-Premissas!$B$11-H49-Premissas!$B$7,"")</f>
        <v>0.303333333333335</v>
      </c>
      <c r="Q49" s="18" t="n">
        <f aca="false">IFERROR(M49*F49,"")</f>
        <v>153.5228</v>
      </c>
      <c r="R49" s="22" t="n">
        <f aca="false">IFERROR(IF(M49&gt;0,ROUNDUP(Premissas!$B$12/M49,0),"sem lucro"),"")</f>
        <v>157</v>
      </c>
      <c r="S49" s="15" t="s">
        <v>82</v>
      </c>
      <c r="T49" s="23" t="s">
        <v>76</v>
      </c>
      <c r="U49" s="15"/>
      <c r="V49" s="18" t="n">
        <f aca="false">IF(AND(T49="S",ISNUMBER(L49),ISNUMBER(F49)),L49*F49*X49,0)</f>
        <v>0</v>
      </c>
      <c r="W49" s="18" t="n">
        <f aca="false">IF(AND(T49="S",ISNUMBER(Q49)),Q49*X49,0)</f>
        <v>0</v>
      </c>
      <c r="X49" s="23" t="n">
        <v>1</v>
      </c>
      <c r="Y49" s="18" t="n">
        <f aca="false">IF(AND(T49="S",ISNUMBER(G49)),G49*X49,0)</f>
        <v>0</v>
      </c>
    </row>
    <row r="50" customFormat="false" ht="15" hidden="false" customHeight="false" outlineLevel="0" collapsed="false">
      <c r="A50" s="14" t="s">
        <v>211</v>
      </c>
      <c r="B50" s="15" t="s">
        <v>212</v>
      </c>
      <c r="C50" s="14" t="s">
        <v>207</v>
      </c>
      <c r="D50" s="14" t="s">
        <v>117</v>
      </c>
      <c r="E50" s="14" t="n">
        <v>4</v>
      </c>
      <c r="F50" s="16" t="n">
        <v>48</v>
      </c>
      <c r="G50" s="17" t="n">
        <v>271.6</v>
      </c>
      <c r="H50" s="18" t="n">
        <f aca="false">IF(ISNUMBER(G50),IFERROR(G50/F50,""),"")</f>
        <v>5.65833333333333</v>
      </c>
      <c r="I50" s="17" t="n">
        <v>10</v>
      </c>
      <c r="J50" s="17" t="n">
        <v>24.99</v>
      </c>
      <c r="K50" s="14" t="s">
        <v>93</v>
      </c>
      <c r="L50" s="20" t="n">
        <v>14.9</v>
      </c>
      <c r="M50" s="18" t="n">
        <f aca="false">IFERROR(L50*(1-Premissas!$B$5)*(1-Premissas!$B$6)-H50-Premissas!$B$7,"")</f>
        <v>7.35511666666666</v>
      </c>
      <c r="N50" s="21" t="n">
        <f aca="false">IFERROR(M50/L50,"")</f>
        <v>0.493631991051454</v>
      </c>
      <c r="O50" s="18" t="n">
        <f aca="false">IFERROR(L50*(1-Premissas!$B$8)-Premissas!$B$9-H50-Premissas!$B$7,"")</f>
        <v>0.203666666666666</v>
      </c>
      <c r="P50" s="18" t="n">
        <f aca="false">IFERROR(L50*(1-Premissas!$B$10)-Premissas!$B$11-H50-Premissas!$B$7,"")</f>
        <v>1.26166666666667</v>
      </c>
      <c r="Q50" s="18" t="n">
        <f aca="false">IFERROR(M50*F50,"")</f>
        <v>353.0456</v>
      </c>
      <c r="R50" s="22" t="n">
        <f aca="false">IFERROR(IF(M50&gt;0,ROUNDUP(Premissas!$B$12/M50,0),"sem lucro"),"")</f>
        <v>136</v>
      </c>
      <c r="S50" s="15" t="s">
        <v>213</v>
      </c>
      <c r="T50" s="23" t="s">
        <v>66</v>
      </c>
      <c r="U50" s="15" t="s">
        <v>214</v>
      </c>
      <c r="V50" s="18" t="n">
        <f aca="false">IF(AND(T50="S",ISNUMBER(L50),ISNUMBER(F50)),L50*F50*X50,0)</f>
        <v>715.2</v>
      </c>
      <c r="W50" s="18" t="n">
        <f aca="false">IF(AND(T50="S",ISNUMBER(Q50)),Q50*X50,0)</f>
        <v>353.0456</v>
      </c>
      <c r="X50" s="23" t="n">
        <v>1</v>
      </c>
      <c r="Y50" s="18" t="n">
        <f aca="false">IF(AND(T50="S",ISNUMBER(G50)),G50*X50,0)</f>
        <v>271.6</v>
      </c>
    </row>
    <row r="51" customFormat="false" ht="15" hidden="false" customHeight="false" outlineLevel="0" collapsed="false">
      <c r="A51" s="14" t="s">
        <v>215</v>
      </c>
      <c r="B51" s="15" t="s">
        <v>216</v>
      </c>
      <c r="C51" s="14" t="s">
        <v>217</v>
      </c>
      <c r="D51" s="14" t="s">
        <v>63</v>
      </c>
      <c r="E51" s="14" t="n">
        <v>4</v>
      </c>
      <c r="F51" s="16" t="n">
        <v>18</v>
      </c>
      <c r="G51" s="17" t="n">
        <v>89.6</v>
      </c>
      <c r="H51" s="18" t="n">
        <f aca="false">IF(ISNUMBER(G51),IFERROR(G51/F51,""),"")</f>
        <v>4.97777777777778</v>
      </c>
      <c r="I51" s="17" t="n">
        <v>12.9</v>
      </c>
      <c r="J51" s="17" t="n">
        <v>14.9</v>
      </c>
      <c r="K51" s="19" t="s">
        <v>64</v>
      </c>
      <c r="L51" s="20" t="n">
        <v>13.9</v>
      </c>
      <c r="M51" s="18" t="n">
        <f aca="false">IFERROR(L51*(1-Premissas!$B$5)*(1-Premissas!$B$6)-H51-Premissas!$B$7,"")</f>
        <v>7.09517222222222</v>
      </c>
      <c r="N51" s="21" t="n">
        <f aca="false">IFERROR(M51/L51,"")</f>
        <v>0.510444044764189</v>
      </c>
      <c r="O51" s="18" t="n">
        <f aca="false">IFERROR(L51*(1-Premissas!$B$8)-Premissas!$B$9-H51-Premissas!$B$7,"")</f>
        <v>0.00422222222222324</v>
      </c>
      <c r="P51" s="18" t="n">
        <f aca="false">IFERROR(L51*(1-Premissas!$B$10)-Premissas!$B$11-H51-Premissas!$B$7,"")</f>
        <v>1.14222222222222</v>
      </c>
      <c r="Q51" s="18" t="n">
        <f aca="false">IFERROR(M51*F51,"")</f>
        <v>127.7131</v>
      </c>
      <c r="R51" s="22" t="n">
        <f aca="false">IFERROR(IF(M51&gt;0,ROUNDUP(Premissas!$B$12/M51,0),"sem lucro"),"")</f>
        <v>141</v>
      </c>
      <c r="S51" s="15" t="s">
        <v>82</v>
      </c>
      <c r="T51" s="23" t="s">
        <v>76</v>
      </c>
      <c r="U51" s="15" t="s">
        <v>218</v>
      </c>
      <c r="V51" s="18" t="n">
        <f aca="false">IF(AND(T51="S",ISNUMBER(L51),ISNUMBER(F51)),L51*F51*X51,0)</f>
        <v>0</v>
      </c>
      <c r="W51" s="18" t="n">
        <f aca="false">IF(AND(T51="S",ISNUMBER(Q51)),Q51*X51,0)</f>
        <v>0</v>
      </c>
      <c r="X51" s="23" t="n">
        <v>1</v>
      </c>
      <c r="Y51" s="18" t="n">
        <f aca="false">IF(AND(T51="S",ISNUMBER(G51)),G51*X51,0)</f>
        <v>0</v>
      </c>
    </row>
    <row r="52" customFormat="false" ht="15" hidden="false" customHeight="false" outlineLevel="0" collapsed="false">
      <c r="A52" s="14" t="s">
        <v>219</v>
      </c>
      <c r="B52" s="15" t="s">
        <v>220</v>
      </c>
      <c r="C52" s="14" t="s">
        <v>217</v>
      </c>
      <c r="D52" s="14" t="s">
        <v>63</v>
      </c>
      <c r="E52" s="14" t="n">
        <v>4</v>
      </c>
      <c r="F52" s="16" t="n">
        <v>18</v>
      </c>
      <c r="G52" s="17" t="n">
        <v>89.6</v>
      </c>
      <c r="H52" s="18" t="n">
        <f aca="false">IF(ISNUMBER(G52),IFERROR(G52/F52,""),"")</f>
        <v>4.97777777777778</v>
      </c>
      <c r="I52" s="17" t="n">
        <v>12.9</v>
      </c>
      <c r="J52" s="17" t="n">
        <v>14.9</v>
      </c>
      <c r="K52" s="19" t="s">
        <v>64</v>
      </c>
      <c r="L52" s="20" t="n">
        <v>13.9</v>
      </c>
      <c r="M52" s="18" t="n">
        <f aca="false">IFERROR(L52*(1-Premissas!$B$5)*(1-Premissas!$B$6)-H52-Premissas!$B$7,"")</f>
        <v>7.09517222222222</v>
      </c>
      <c r="N52" s="21" t="n">
        <f aca="false">IFERROR(M52/L52,"")</f>
        <v>0.510444044764189</v>
      </c>
      <c r="O52" s="18" t="n">
        <f aca="false">IFERROR(L52*(1-Premissas!$B$8)-Premissas!$B$9-H52-Premissas!$B$7,"")</f>
        <v>0.00422222222222324</v>
      </c>
      <c r="P52" s="18" t="n">
        <f aca="false">IFERROR(L52*(1-Premissas!$B$10)-Premissas!$B$11-H52-Premissas!$B$7,"")</f>
        <v>1.14222222222222</v>
      </c>
      <c r="Q52" s="18" t="n">
        <f aca="false">IFERROR(M52*F52,"")</f>
        <v>127.7131</v>
      </c>
      <c r="R52" s="22" t="n">
        <f aca="false">IFERROR(IF(M52&gt;0,ROUNDUP(Premissas!$B$12/M52,0),"sem lucro"),"")</f>
        <v>141</v>
      </c>
      <c r="S52" s="15" t="s">
        <v>82</v>
      </c>
      <c r="T52" s="23" t="s">
        <v>76</v>
      </c>
      <c r="U52" s="15" t="s">
        <v>218</v>
      </c>
      <c r="V52" s="18" t="n">
        <f aca="false">IF(AND(T52="S",ISNUMBER(L52),ISNUMBER(F52)),L52*F52*X52,0)</f>
        <v>0</v>
      </c>
      <c r="W52" s="18" t="n">
        <f aca="false">IF(AND(T52="S",ISNUMBER(Q52)),Q52*X52,0)</f>
        <v>0</v>
      </c>
      <c r="X52" s="23" t="n">
        <v>1</v>
      </c>
      <c r="Y52" s="18" t="n">
        <f aca="false">IF(AND(T52="S",ISNUMBER(G52)),G52*X52,0)</f>
        <v>0</v>
      </c>
    </row>
    <row r="53" customFormat="false" ht="39.55" hidden="false" customHeight="false" outlineLevel="0" collapsed="false">
      <c r="A53" s="14" t="s">
        <v>221</v>
      </c>
      <c r="B53" s="15" t="s">
        <v>222</v>
      </c>
      <c r="C53" s="14" t="s">
        <v>223</v>
      </c>
      <c r="D53" s="14" t="s">
        <v>224</v>
      </c>
      <c r="E53" s="14" t="n">
        <v>4</v>
      </c>
      <c r="F53" s="16" t="n">
        <v>1</v>
      </c>
      <c r="G53" s="17" t="n">
        <v>6.8</v>
      </c>
      <c r="H53" s="18" t="n">
        <f aca="false">IF(ISNUMBER(G53),IFERROR(G53/F53,""),"")</f>
        <v>6.8</v>
      </c>
      <c r="I53" s="17" t="n">
        <v>19.9</v>
      </c>
      <c r="J53" s="17" t="n">
        <v>29.9</v>
      </c>
      <c r="K53" s="19" t="s">
        <v>64</v>
      </c>
      <c r="L53" s="20" t="n">
        <v>24.9</v>
      </c>
      <c r="M53" s="18" t="n">
        <f aca="false">IFERROR(L53*(1-Premissas!$B$5)*(1-Premissas!$B$6)-H53-Premissas!$B$7,"")</f>
        <v>15.61845</v>
      </c>
      <c r="N53" s="21" t="n">
        <f aca="false">IFERROR(M53/L53,"")</f>
        <v>0.627246987951807</v>
      </c>
      <c r="O53" s="18" t="n">
        <f aca="false">IFERROR(L53*(1-Premissas!$B$8)-Premissas!$B$9-H53-Premissas!$B$7,"")</f>
        <v>7.862</v>
      </c>
      <c r="P53" s="18" t="n">
        <f aca="false">IFERROR(L53*(1-Premissas!$B$10)-Premissas!$B$11-H53-Premissas!$B$7,"")</f>
        <v>8.12</v>
      </c>
      <c r="Q53" s="18" t="n">
        <f aca="false">IFERROR(M53*F53,"")</f>
        <v>15.61845</v>
      </c>
      <c r="R53" s="22" t="n">
        <f aca="false">IFERROR(IF(M53&gt;0,ROUNDUP(Premissas!$B$12/M53,0),"sem lucro"),"")</f>
        <v>65</v>
      </c>
      <c r="S53" s="15" t="s">
        <v>65</v>
      </c>
      <c r="T53" s="23" t="s">
        <v>66</v>
      </c>
      <c r="U53" s="15" t="s">
        <v>225</v>
      </c>
      <c r="V53" s="18" t="n">
        <f aca="false">IF(AND(T53="S",ISNUMBER(L53),ISNUMBER(F53)),L53*F53*X53,0)</f>
        <v>298.8</v>
      </c>
      <c r="W53" s="18" t="n">
        <f aca="false">IF(AND(T53="S",ISNUMBER(Q53)),Q53*X53,0)</f>
        <v>187.4214</v>
      </c>
      <c r="X53" s="23" t="n">
        <v>12</v>
      </c>
      <c r="Y53" s="18" t="n">
        <f aca="false">IF(AND(T53="S",ISNUMBER(G53)),G53*X53,0)</f>
        <v>81.6</v>
      </c>
    </row>
    <row r="54" customFormat="false" ht="15" hidden="false" customHeight="false" outlineLevel="0" collapsed="false">
      <c r="A54" s="14" t="s">
        <v>226</v>
      </c>
      <c r="B54" s="15" t="s">
        <v>227</v>
      </c>
      <c r="C54" s="14" t="s">
        <v>223</v>
      </c>
      <c r="D54" s="14" t="s">
        <v>224</v>
      </c>
      <c r="E54" s="14" t="n">
        <v>4</v>
      </c>
      <c r="F54" s="16" t="n">
        <v>1</v>
      </c>
      <c r="G54" s="17" t="n">
        <v>6.8</v>
      </c>
      <c r="H54" s="18" t="n">
        <f aca="false">IF(ISNUMBER(G54),IFERROR(G54/F54,""),"")</f>
        <v>6.8</v>
      </c>
      <c r="I54" s="17" t="n">
        <v>19.9</v>
      </c>
      <c r="J54" s="17" t="n">
        <v>29.9</v>
      </c>
      <c r="K54" s="19" t="s">
        <v>64</v>
      </c>
      <c r="L54" s="20" t="n">
        <v>24.9</v>
      </c>
      <c r="M54" s="18" t="n">
        <f aca="false">IFERROR(L54*(1-Premissas!$B$5)*(1-Premissas!$B$6)-H54-Premissas!$B$7,"")</f>
        <v>15.61845</v>
      </c>
      <c r="N54" s="21" t="n">
        <f aca="false">IFERROR(M54/L54,"")</f>
        <v>0.627246987951807</v>
      </c>
      <c r="O54" s="18" t="n">
        <f aca="false">IFERROR(L54*(1-Premissas!$B$8)-Premissas!$B$9-H54-Premissas!$B$7,"")</f>
        <v>7.862</v>
      </c>
      <c r="P54" s="18" t="n">
        <f aca="false">IFERROR(L54*(1-Premissas!$B$10)-Premissas!$B$11-H54-Premissas!$B$7,"")</f>
        <v>8.12</v>
      </c>
      <c r="Q54" s="18" t="n">
        <f aca="false">IFERROR(M54*F54,"")</f>
        <v>15.61845</v>
      </c>
      <c r="R54" s="22" t="n">
        <f aca="false">IFERROR(IF(M54&gt;0,ROUNDUP(Premissas!$B$12/M54,0),"sem lucro"),"")</f>
        <v>65</v>
      </c>
      <c r="S54" s="15" t="s">
        <v>65</v>
      </c>
      <c r="T54" s="23" t="s">
        <v>66</v>
      </c>
      <c r="U54" s="15" t="s">
        <v>228</v>
      </c>
      <c r="V54" s="18" t="n">
        <f aca="false">IF(AND(T54="S",ISNUMBER(L54),ISNUMBER(F54)),L54*F54*X54,0)</f>
        <v>298.8</v>
      </c>
      <c r="W54" s="18" t="n">
        <f aca="false">IF(AND(T54="S",ISNUMBER(Q54)),Q54*X54,0)</f>
        <v>187.4214</v>
      </c>
      <c r="X54" s="23" t="n">
        <v>12</v>
      </c>
      <c r="Y54" s="18" t="n">
        <f aca="false">IF(AND(T54="S",ISNUMBER(G54)),G54*X54,0)</f>
        <v>81.6</v>
      </c>
    </row>
    <row r="55" customFormat="false" ht="15" hidden="false" customHeight="false" outlineLevel="0" collapsed="false">
      <c r="A55" s="14" t="s">
        <v>229</v>
      </c>
      <c r="B55" s="15" t="s">
        <v>230</v>
      </c>
      <c r="C55" s="14" t="s">
        <v>223</v>
      </c>
      <c r="D55" s="14" t="s">
        <v>141</v>
      </c>
      <c r="E55" s="14" t="n">
        <v>4</v>
      </c>
      <c r="F55" s="16" t="n">
        <v>1</v>
      </c>
      <c r="G55" s="17" t="n">
        <v>6.6</v>
      </c>
      <c r="H55" s="18" t="n">
        <f aca="false">IF(ISNUMBER(G55),IFERROR(G55/F55,""),"")</f>
        <v>6.6</v>
      </c>
      <c r="I55" s="17" t="n">
        <v>19.9</v>
      </c>
      <c r="J55" s="17" t="n">
        <v>24.9</v>
      </c>
      <c r="K55" s="19" t="s">
        <v>64</v>
      </c>
      <c r="L55" s="20" t="n">
        <v>22.9</v>
      </c>
      <c r="M55" s="18" t="n">
        <f aca="false">IFERROR(L55*(1-Premissas!$B$5)*(1-Premissas!$B$6)-H55-Premissas!$B$7,"")</f>
        <v>13.93745</v>
      </c>
      <c r="N55" s="21" t="n">
        <f aca="false">IFERROR(M55/L55,"")</f>
        <v>0.608622270742358</v>
      </c>
      <c r="O55" s="18" t="n">
        <f aca="false">IFERROR(L55*(1-Premissas!$B$8)-Premissas!$B$9-H55-Premissas!$B$7,"")</f>
        <v>6.302</v>
      </c>
      <c r="P55" s="18" t="n">
        <f aca="false">IFERROR(L55*(1-Premissas!$B$10)-Premissas!$B$11-H55-Premissas!$B$7,"")</f>
        <v>6.72</v>
      </c>
      <c r="Q55" s="18" t="n">
        <f aca="false">IFERROR(M55*F55,"")</f>
        <v>13.93745</v>
      </c>
      <c r="R55" s="22" t="n">
        <f aca="false">IFERROR(IF(M55&gt;0,ROUNDUP(Premissas!$B$12/M55,0),"sem lucro"),"")</f>
        <v>72</v>
      </c>
      <c r="S55" s="15" t="s">
        <v>231</v>
      </c>
      <c r="T55" s="23" t="s">
        <v>66</v>
      </c>
      <c r="U55" s="15" t="s">
        <v>232</v>
      </c>
      <c r="V55" s="18" t="n">
        <f aca="false">IF(AND(T55="S",ISNUMBER(L55),ISNUMBER(F55)),L55*F55*X55,0)</f>
        <v>274.8</v>
      </c>
      <c r="W55" s="18" t="n">
        <f aca="false">IF(AND(T55="S",ISNUMBER(Q55)),Q55*X55,0)</f>
        <v>167.2494</v>
      </c>
      <c r="X55" s="23" t="n">
        <v>12</v>
      </c>
      <c r="Y55" s="18" t="n">
        <f aca="false">IF(AND(T55="S",ISNUMBER(G55)),G55*X55,0)</f>
        <v>79.2</v>
      </c>
    </row>
    <row r="56" customFormat="false" ht="15" hidden="false" customHeight="false" outlineLevel="0" collapsed="false">
      <c r="A56" s="14" t="s">
        <v>233</v>
      </c>
      <c r="B56" s="15" t="s">
        <v>234</v>
      </c>
      <c r="C56" s="14" t="s">
        <v>217</v>
      </c>
      <c r="D56" s="14" t="s">
        <v>63</v>
      </c>
      <c r="E56" s="14" t="n">
        <v>5</v>
      </c>
      <c r="F56" s="16" t="n">
        <v>18</v>
      </c>
      <c r="G56" s="17" t="n">
        <v>89.6</v>
      </c>
      <c r="H56" s="18" t="n">
        <f aca="false">IF(ISNUMBER(G56),IFERROR(G56/F56,""),"")</f>
        <v>4.97777777777778</v>
      </c>
      <c r="I56" s="17" t="n">
        <v>12.9</v>
      </c>
      <c r="J56" s="17" t="n">
        <v>14.9</v>
      </c>
      <c r="K56" s="19" t="s">
        <v>64</v>
      </c>
      <c r="L56" s="20" t="n">
        <v>13.9</v>
      </c>
      <c r="M56" s="18" t="n">
        <f aca="false">IFERROR(L56*(1-Premissas!$B$5)*(1-Premissas!$B$6)-H56-Premissas!$B$7,"")</f>
        <v>7.09517222222222</v>
      </c>
      <c r="N56" s="21" t="n">
        <f aca="false">IFERROR(M56/L56,"")</f>
        <v>0.510444044764189</v>
      </c>
      <c r="O56" s="18" t="n">
        <f aca="false">IFERROR(L56*(1-Premissas!$B$8)-Premissas!$B$9-H56-Premissas!$B$7,"")</f>
        <v>0.00422222222222324</v>
      </c>
      <c r="P56" s="18" t="n">
        <f aca="false">IFERROR(L56*(1-Premissas!$B$10)-Premissas!$B$11-H56-Premissas!$B$7,"")</f>
        <v>1.14222222222222</v>
      </c>
      <c r="Q56" s="18" t="n">
        <f aca="false">IFERROR(M56*F56,"")</f>
        <v>127.7131</v>
      </c>
      <c r="R56" s="22" t="n">
        <f aca="false">IFERROR(IF(M56&gt;0,ROUNDUP(Premissas!$B$12/M56,0),"sem lucro"),"")</f>
        <v>141</v>
      </c>
      <c r="S56" s="15" t="s">
        <v>82</v>
      </c>
      <c r="T56" s="23" t="s">
        <v>76</v>
      </c>
      <c r="U56" s="15" t="s">
        <v>218</v>
      </c>
      <c r="V56" s="18" t="n">
        <f aca="false">IF(AND(T56="S",ISNUMBER(L56),ISNUMBER(F56)),L56*F56*X56,0)</f>
        <v>0</v>
      </c>
      <c r="W56" s="18" t="n">
        <f aca="false">IF(AND(T56="S",ISNUMBER(Q56)),Q56*X56,0)</f>
        <v>0</v>
      </c>
      <c r="X56" s="23" t="n">
        <v>1</v>
      </c>
      <c r="Y56" s="18" t="n">
        <f aca="false">IF(AND(T56="S",ISNUMBER(G56)),G56*X56,0)</f>
        <v>0</v>
      </c>
    </row>
    <row r="57" customFormat="false" ht="15" hidden="false" customHeight="false" outlineLevel="0" collapsed="false">
      <c r="A57" s="14" t="s">
        <v>235</v>
      </c>
      <c r="B57" s="15" t="s">
        <v>236</v>
      </c>
      <c r="C57" s="14" t="s">
        <v>237</v>
      </c>
      <c r="D57" s="14" t="s">
        <v>125</v>
      </c>
      <c r="E57" s="14" t="n">
        <v>5</v>
      </c>
      <c r="F57" s="16" t="n">
        <v>24</v>
      </c>
      <c r="G57" s="17" t="n">
        <v>160.2</v>
      </c>
      <c r="H57" s="18" t="n">
        <f aca="false">IF(ISNUMBER(G57),IFERROR(G57/F57,""),"")</f>
        <v>6.675</v>
      </c>
      <c r="I57" s="17" t="n">
        <v>10</v>
      </c>
      <c r="J57" s="17" t="n">
        <v>14.9</v>
      </c>
      <c r="K57" s="19" t="s">
        <v>64</v>
      </c>
      <c r="L57" s="20" t="n">
        <v>14.9</v>
      </c>
      <c r="M57" s="18" t="n">
        <f aca="false">IFERROR(L57*(1-Premissas!$B$5)*(1-Premissas!$B$6)-H57-Premissas!$B$7,"")</f>
        <v>6.33845</v>
      </c>
      <c r="N57" s="21" t="n">
        <f aca="false">IFERROR(M57/L57,"")</f>
        <v>0.42539932885906</v>
      </c>
      <c r="O57" s="18" t="n">
        <f aca="false">IFERROR(L57*(1-Premissas!$B$8)-Premissas!$B$9-H57-Premissas!$B$7,"")</f>
        <v>-0.813</v>
      </c>
      <c r="P57" s="18" t="n">
        <f aca="false">IFERROR(L57*(1-Premissas!$B$10)-Premissas!$B$11-H57-Premissas!$B$7,"")</f>
        <v>0.245000000000002</v>
      </c>
      <c r="Q57" s="18" t="n">
        <f aca="false">IFERROR(M57*F57,"")</f>
        <v>152.1228</v>
      </c>
      <c r="R57" s="22" t="n">
        <f aca="false">IFERROR(IF(M57&gt;0,ROUNDUP(Premissas!$B$12/M57,0),"sem lucro"),"")</f>
        <v>158</v>
      </c>
      <c r="S57" s="15" t="s">
        <v>82</v>
      </c>
      <c r="T57" s="23" t="s">
        <v>76</v>
      </c>
      <c r="U57" s="15"/>
      <c r="V57" s="18" t="n">
        <f aca="false">IF(AND(T57="S",ISNUMBER(L57),ISNUMBER(F57)),L57*F57*X57,0)</f>
        <v>0</v>
      </c>
      <c r="W57" s="18" t="n">
        <f aca="false">IF(AND(T57="S",ISNUMBER(Q57)),Q57*X57,0)</f>
        <v>0</v>
      </c>
      <c r="X57" s="23" t="n">
        <v>1</v>
      </c>
      <c r="Y57" s="18" t="n">
        <f aca="false">IF(AND(T57="S",ISNUMBER(G57)),G57*X57,0)</f>
        <v>0</v>
      </c>
    </row>
    <row r="58" customFormat="false" ht="15" hidden="false" customHeight="false" outlineLevel="0" collapsed="false">
      <c r="A58" s="14" t="s">
        <v>238</v>
      </c>
      <c r="B58" s="15" t="s">
        <v>239</v>
      </c>
      <c r="C58" s="14" t="s">
        <v>237</v>
      </c>
      <c r="D58" s="14" t="s">
        <v>117</v>
      </c>
      <c r="E58" s="14" t="n">
        <v>5</v>
      </c>
      <c r="F58" s="16" t="n">
        <v>24</v>
      </c>
      <c r="G58" s="17" t="n">
        <v>165.99</v>
      </c>
      <c r="H58" s="18" t="n">
        <f aca="false">IF(ISNUMBER(G58),IFERROR(G58/F58,""),"")</f>
        <v>6.91625</v>
      </c>
      <c r="I58" s="17" t="n">
        <v>12.9</v>
      </c>
      <c r="J58" s="17" t="n">
        <v>14.9</v>
      </c>
      <c r="K58" s="19" t="s">
        <v>64</v>
      </c>
      <c r="L58" s="20" t="n">
        <v>14.9</v>
      </c>
      <c r="M58" s="18" t="n">
        <f aca="false">IFERROR(L58*(1-Premissas!$B$5)*(1-Premissas!$B$6)-H58-Premissas!$B$7,"")</f>
        <v>6.0972</v>
      </c>
      <c r="N58" s="21" t="n">
        <f aca="false">IFERROR(M58/L58,"")</f>
        <v>0.409208053691275</v>
      </c>
      <c r="O58" s="18" t="n">
        <f aca="false">IFERROR(L58*(1-Premissas!$B$8)-Premissas!$B$9-H58-Premissas!$B$7,"")</f>
        <v>-1.05425</v>
      </c>
      <c r="P58" s="18" t="n">
        <f aca="false">IFERROR(L58*(1-Premissas!$B$10)-Premissas!$B$11-H58-Premissas!$B$7,"")</f>
        <v>0.00375000000000103</v>
      </c>
      <c r="Q58" s="18" t="n">
        <f aca="false">IFERROR(M58*F58,"")</f>
        <v>146.3328</v>
      </c>
      <c r="R58" s="22" t="n">
        <f aca="false">IFERROR(IF(M58&gt;0,ROUNDUP(Premissas!$B$12/M58,0),"sem lucro"),"")</f>
        <v>165</v>
      </c>
      <c r="S58" s="15" t="s">
        <v>82</v>
      </c>
      <c r="T58" s="23" t="s">
        <v>76</v>
      </c>
      <c r="U58" s="15" t="s">
        <v>240</v>
      </c>
      <c r="V58" s="18" t="n">
        <f aca="false">IF(AND(T58="S",ISNUMBER(L58),ISNUMBER(F58)),L58*F58*X58,0)</f>
        <v>0</v>
      </c>
      <c r="W58" s="18" t="n">
        <f aca="false">IF(AND(T58="S",ISNUMBER(Q58)),Q58*X58,0)</f>
        <v>0</v>
      </c>
      <c r="X58" s="23" t="n">
        <v>1</v>
      </c>
      <c r="Y58" s="18" t="n">
        <f aca="false">IF(AND(T58="S",ISNUMBER(G58)),G58*X58,0)</f>
        <v>0</v>
      </c>
    </row>
    <row r="59" customFormat="false" ht="15" hidden="false" customHeight="false" outlineLevel="0" collapsed="false">
      <c r="A59" s="14" t="s">
        <v>241</v>
      </c>
      <c r="B59" s="15" t="s">
        <v>242</v>
      </c>
      <c r="C59" s="14" t="s">
        <v>207</v>
      </c>
      <c r="D59" s="14" t="s">
        <v>63</v>
      </c>
      <c r="E59" s="14" t="n">
        <v>5</v>
      </c>
      <c r="F59" s="16" t="n">
        <v>1</v>
      </c>
      <c r="G59" s="17" t="n">
        <v>6.7</v>
      </c>
      <c r="H59" s="18" t="n">
        <f aca="false">IF(ISNUMBER(G59),IFERROR(G59/F59,""),"")</f>
        <v>6.7</v>
      </c>
      <c r="I59" s="17" t="n">
        <v>12.9</v>
      </c>
      <c r="J59" s="17" t="n">
        <v>16.9</v>
      </c>
      <c r="K59" s="19" t="s">
        <v>64</v>
      </c>
      <c r="L59" s="20" t="n">
        <v>14.9</v>
      </c>
      <c r="M59" s="18" t="n">
        <f aca="false">IFERROR(L59*(1-Premissas!$B$5)*(1-Premissas!$B$6)-H59-Premissas!$B$7,"")</f>
        <v>6.31345</v>
      </c>
      <c r="N59" s="21" t="n">
        <f aca="false">IFERROR(M59/L59,"")</f>
        <v>0.423721476510067</v>
      </c>
      <c r="O59" s="18" t="n">
        <f aca="false">IFERROR(L59*(1-Premissas!$B$8)-Premissas!$B$9-H59-Premissas!$B$7,"")</f>
        <v>-0.838</v>
      </c>
      <c r="P59" s="18" t="n">
        <f aca="false">IFERROR(L59*(1-Premissas!$B$10)-Premissas!$B$11-H59-Premissas!$B$7,"")</f>
        <v>0.220000000000002</v>
      </c>
      <c r="Q59" s="18" t="n">
        <f aca="false">IFERROR(M59*F59,"")</f>
        <v>6.31345</v>
      </c>
      <c r="R59" s="22" t="n">
        <f aca="false">IFERROR(IF(M59&gt;0,ROUNDUP(Premissas!$B$12/M59,0),"sem lucro"),"")</f>
        <v>159</v>
      </c>
      <c r="S59" s="15" t="s">
        <v>243</v>
      </c>
      <c r="T59" s="23" t="s">
        <v>66</v>
      </c>
      <c r="U59" s="15"/>
      <c r="V59" s="18" t="n">
        <f aca="false">IF(AND(T59="S",ISNUMBER(L59),ISNUMBER(F59)),L59*F59*X59,0)</f>
        <v>178.8</v>
      </c>
      <c r="W59" s="18" t="n">
        <f aca="false">IF(AND(T59="S",ISNUMBER(Q59)),Q59*X59,0)</f>
        <v>75.7614</v>
      </c>
      <c r="X59" s="23" t="n">
        <v>12</v>
      </c>
      <c r="Y59" s="18" t="n">
        <f aca="false">IF(AND(T59="S",ISNUMBER(G59)),G59*X59,0)</f>
        <v>80.4</v>
      </c>
    </row>
    <row r="60" customFormat="false" ht="15" hidden="false" customHeight="false" outlineLevel="0" collapsed="false">
      <c r="A60" s="14" t="s">
        <v>244</v>
      </c>
      <c r="B60" s="15" t="s">
        <v>245</v>
      </c>
      <c r="C60" s="14" t="s">
        <v>207</v>
      </c>
      <c r="D60" s="14" t="s">
        <v>63</v>
      </c>
      <c r="E60" s="14" t="n">
        <v>5</v>
      </c>
      <c r="F60" s="16" t="n">
        <v>24</v>
      </c>
      <c r="G60" s="17" t="n">
        <v>161.7</v>
      </c>
      <c r="H60" s="18" t="n">
        <f aca="false">IF(ISNUMBER(G60),IFERROR(G60/F60,""),"")</f>
        <v>6.7375</v>
      </c>
      <c r="I60" s="17" t="n">
        <v>12.9</v>
      </c>
      <c r="J60" s="17" t="n">
        <v>13.29</v>
      </c>
      <c r="K60" s="19" t="s">
        <v>64</v>
      </c>
      <c r="L60" s="20" t="n">
        <v>12.9</v>
      </c>
      <c r="M60" s="18" t="n">
        <f aca="false">IFERROR(L60*(1-Premissas!$B$5)*(1-Premissas!$B$6)-H60-Premissas!$B$7,"")</f>
        <v>4.39495</v>
      </c>
      <c r="N60" s="21" t="n">
        <f aca="false">IFERROR(M60/L60,"")</f>
        <v>0.340693798449612</v>
      </c>
      <c r="O60" s="18" t="n">
        <f aca="false">IFERROR(L60*(1-Premissas!$B$8)-Premissas!$B$9-H60-Premissas!$B$7,"")</f>
        <v>-2.6355</v>
      </c>
      <c r="P60" s="18" t="n">
        <f aca="false">IFERROR(L60*(1-Premissas!$B$10)-Premissas!$B$11-H60-Premissas!$B$7,"")</f>
        <v>-1.4175</v>
      </c>
      <c r="Q60" s="18" t="n">
        <f aca="false">IFERROR(M60*F60,"")</f>
        <v>105.4788</v>
      </c>
      <c r="R60" s="22" t="n">
        <f aca="false">IFERROR(IF(M60&gt;0,ROUNDUP(Premissas!$B$12/M60,0),"sem lucro"),"")</f>
        <v>228</v>
      </c>
      <c r="S60" s="15" t="s">
        <v>82</v>
      </c>
      <c r="T60" s="23" t="s">
        <v>76</v>
      </c>
      <c r="U60" s="15" t="s">
        <v>246</v>
      </c>
      <c r="V60" s="18" t="n">
        <f aca="false">IF(AND(T60="S",ISNUMBER(L60),ISNUMBER(F60)),L60*F60*X60,0)</f>
        <v>0</v>
      </c>
      <c r="W60" s="18" t="n">
        <f aca="false">IF(AND(T60="S",ISNUMBER(Q60)),Q60*X60,0)</f>
        <v>0</v>
      </c>
      <c r="X60" s="23" t="n">
        <v>1</v>
      </c>
      <c r="Y60" s="18" t="n">
        <f aca="false">IF(AND(T60="S",ISNUMBER(G60)),G60*X60,0)</f>
        <v>0</v>
      </c>
    </row>
    <row r="61" customFormat="false" ht="15" hidden="false" customHeight="false" outlineLevel="0" collapsed="false">
      <c r="A61" s="14" t="s">
        <v>247</v>
      </c>
      <c r="B61" s="15" t="s">
        <v>248</v>
      </c>
      <c r="C61" s="14" t="s">
        <v>207</v>
      </c>
      <c r="D61" s="14" t="s">
        <v>63</v>
      </c>
      <c r="E61" s="14" t="n">
        <v>5</v>
      </c>
      <c r="F61" s="16" t="n">
        <v>24</v>
      </c>
      <c r="G61" s="17" t="n">
        <v>138.99</v>
      </c>
      <c r="H61" s="18" t="n">
        <f aca="false">IF(ISNUMBER(G61),IFERROR(G61/F61,""),"")</f>
        <v>5.79125</v>
      </c>
      <c r="I61" s="17" t="n">
        <v>14.9</v>
      </c>
      <c r="J61" s="17" t="n">
        <v>18.5</v>
      </c>
      <c r="K61" s="19" t="s">
        <v>64</v>
      </c>
      <c r="L61" s="20" t="n">
        <v>14.9</v>
      </c>
      <c r="M61" s="18" t="n">
        <f aca="false">IFERROR(L61*(1-Premissas!$B$5)*(1-Premissas!$B$6)-H61-Premissas!$B$7,"")</f>
        <v>7.2222</v>
      </c>
      <c r="N61" s="21" t="n">
        <f aca="false">IFERROR(M61/L61,"")</f>
        <v>0.484711409395973</v>
      </c>
      <c r="O61" s="18" t="n">
        <f aca="false">IFERROR(L61*(1-Premissas!$B$8)-Premissas!$B$9-H61-Premissas!$B$7,"")</f>
        <v>0.0707499999999994</v>
      </c>
      <c r="P61" s="18" t="n">
        <f aca="false">IFERROR(L61*(1-Premissas!$B$10)-Premissas!$B$11-H61-Premissas!$B$7,"")</f>
        <v>1.12875</v>
      </c>
      <c r="Q61" s="18" t="n">
        <f aca="false">IFERROR(M61*F61,"")</f>
        <v>173.3328</v>
      </c>
      <c r="R61" s="22" t="n">
        <f aca="false">IFERROR(IF(M61&gt;0,ROUNDUP(Premissas!$B$12/M61,0),"sem lucro"),"")</f>
        <v>139</v>
      </c>
      <c r="S61" s="15" t="s">
        <v>65</v>
      </c>
      <c r="T61" s="23" t="s">
        <v>66</v>
      </c>
      <c r="U61" s="15" t="s">
        <v>249</v>
      </c>
      <c r="V61" s="18" t="n">
        <f aca="false">IF(AND(T61="S",ISNUMBER(L61),ISNUMBER(F61)),L61*F61*X61,0)</f>
        <v>357.6</v>
      </c>
      <c r="W61" s="18" t="n">
        <f aca="false">IF(AND(T61="S",ISNUMBER(Q61)),Q61*X61,0)</f>
        <v>173.3328</v>
      </c>
      <c r="X61" s="23" t="n">
        <v>1</v>
      </c>
      <c r="Y61" s="18" t="n">
        <f aca="false">IF(AND(T61="S",ISNUMBER(G61)),G61*X61,0)</f>
        <v>138.99</v>
      </c>
    </row>
    <row r="62" customFormat="false" ht="15" hidden="false" customHeight="false" outlineLevel="0" collapsed="false">
      <c r="A62" s="14" t="s">
        <v>250</v>
      </c>
      <c r="B62" s="15" t="s">
        <v>251</v>
      </c>
      <c r="C62" s="14" t="s">
        <v>207</v>
      </c>
      <c r="D62" s="14" t="s">
        <v>117</v>
      </c>
      <c r="E62" s="14" t="n">
        <v>5</v>
      </c>
      <c r="F62" s="16" t="n">
        <v>24</v>
      </c>
      <c r="G62" s="17" t="n">
        <v>191.2</v>
      </c>
      <c r="H62" s="18" t="n">
        <f aca="false">IF(ISNUMBER(G62),IFERROR(G62/F62,""),"")</f>
        <v>7.96666666666667</v>
      </c>
      <c r="I62" s="17" t="n">
        <v>12.9</v>
      </c>
      <c r="J62" s="17" t="n">
        <v>14.9</v>
      </c>
      <c r="K62" s="19" t="s">
        <v>64</v>
      </c>
      <c r="L62" s="20" t="n">
        <v>14.9</v>
      </c>
      <c r="M62" s="18" t="n">
        <f aca="false">IFERROR(L62*(1-Premissas!$B$5)*(1-Premissas!$B$6)-H62-Premissas!$B$7,"")</f>
        <v>5.04678333333333</v>
      </c>
      <c r="N62" s="21" t="n">
        <f aca="false">IFERROR(M62/L62,"")</f>
        <v>0.33871029082774</v>
      </c>
      <c r="O62" s="18" t="n">
        <f aca="false">IFERROR(L62*(1-Premissas!$B$8)-Premissas!$B$9-H62-Premissas!$B$7,"")</f>
        <v>-2.10466666666667</v>
      </c>
      <c r="P62" s="18" t="n">
        <f aca="false">IFERROR(L62*(1-Premissas!$B$10)-Premissas!$B$11-H62-Premissas!$B$7,"")</f>
        <v>-1.04666666666666</v>
      </c>
      <c r="Q62" s="18" t="n">
        <f aca="false">IFERROR(M62*F62,"")</f>
        <v>121.1228</v>
      </c>
      <c r="R62" s="22" t="n">
        <f aca="false">IFERROR(IF(M62&gt;0,ROUNDUP(Premissas!$B$12/M62,0),"sem lucro"),"")</f>
        <v>199</v>
      </c>
      <c r="S62" s="15" t="s">
        <v>252</v>
      </c>
      <c r="T62" s="23" t="s">
        <v>76</v>
      </c>
      <c r="U62" s="15"/>
      <c r="V62" s="18" t="n">
        <f aca="false">IF(AND(T62="S",ISNUMBER(L62),ISNUMBER(F62)),L62*F62*X62,0)</f>
        <v>0</v>
      </c>
      <c r="W62" s="18" t="n">
        <f aca="false">IF(AND(T62="S",ISNUMBER(Q62)),Q62*X62,0)</f>
        <v>0</v>
      </c>
      <c r="X62" s="23" t="n">
        <v>1</v>
      </c>
      <c r="Y62" s="18" t="n">
        <f aca="false">IF(AND(T62="S",ISNUMBER(G62)),G62*X62,0)</f>
        <v>0</v>
      </c>
    </row>
    <row r="63" customFormat="false" ht="15" hidden="false" customHeight="false" outlineLevel="0" collapsed="false">
      <c r="A63" s="14" t="s">
        <v>253</v>
      </c>
      <c r="B63" s="15" t="s">
        <v>254</v>
      </c>
      <c r="C63" s="14" t="s">
        <v>255</v>
      </c>
      <c r="D63" s="14" t="s">
        <v>63</v>
      </c>
      <c r="E63" s="14" t="n">
        <v>5</v>
      </c>
      <c r="F63" s="16" t="n">
        <v>36</v>
      </c>
      <c r="G63" s="17" t="n">
        <v>224.9</v>
      </c>
      <c r="H63" s="18" t="n">
        <f aca="false">IF(ISNUMBER(G63),IFERROR(G63/F63,""),"")</f>
        <v>6.24722222222222</v>
      </c>
      <c r="I63" s="17" t="n">
        <v>12.9</v>
      </c>
      <c r="J63" s="17" t="n">
        <v>12.9</v>
      </c>
      <c r="K63" s="19" t="s">
        <v>64</v>
      </c>
      <c r="L63" s="20" t="n">
        <v>12.9</v>
      </c>
      <c r="M63" s="18" t="n">
        <f aca="false">IFERROR(L63*(1-Premissas!$B$5)*(1-Premissas!$B$6)-H63-Premissas!$B$7,"")</f>
        <v>4.88522777777778</v>
      </c>
      <c r="N63" s="21" t="n">
        <f aca="false">IFERROR(M63/L63,"")</f>
        <v>0.378699827734711</v>
      </c>
      <c r="O63" s="18" t="n">
        <f aca="false">IFERROR(L63*(1-Premissas!$B$8)-Premissas!$B$9-H63-Premissas!$B$7,"")</f>
        <v>-2.14522222222222</v>
      </c>
      <c r="P63" s="18" t="n">
        <f aca="false">IFERROR(L63*(1-Premissas!$B$10)-Premissas!$B$11-H63-Premissas!$B$7,"")</f>
        <v>-0.927222222222222</v>
      </c>
      <c r="Q63" s="18" t="n">
        <f aca="false">IFERROR(M63*F63,"")</f>
        <v>175.8682</v>
      </c>
      <c r="R63" s="22" t="n">
        <f aca="false">IFERROR(IF(M63&gt;0,ROUNDUP(Premissas!$B$12/M63,0),"sem lucro"),"")</f>
        <v>205</v>
      </c>
      <c r="S63" s="15" t="s">
        <v>82</v>
      </c>
      <c r="T63" s="23" t="s">
        <v>76</v>
      </c>
      <c r="U63" s="15" t="s">
        <v>256</v>
      </c>
      <c r="V63" s="18" t="n">
        <f aca="false">IF(AND(T63="S",ISNUMBER(L63),ISNUMBER(F63)),L63*F63*X63,0)</f>
        <v>0</v>
      </c>
      <c r="W63" s="18" t="n">
        <f aca="false">IF(AND(T63="S",ISNUMBER(Q63)),Q63*X63,0)</f>
        <v>0</v>
      </c>
      <c r="X63" s="23" t="n">
        <v>1</v>
      </c>
      <c r="Y63" s="18" t="n">
        <f aca="false">IF(AND(T63="S",ISNUMBER(G63)),G63*X63,0)</f>
        <v>0</v>
      </c>
    </row>
    <row r="64" customFormat="false" ht="15" hidden="false" customHeight="false" outlineLevel="0" collapsed="false">
      <c r="A64" s="14" t="s">
        <v>257</v>
      </c>
      <c r="B64" s="15" t="s">
        <v>258</v>
      </c>
      <c r="C64" s="14" t="s">
        <v>259</v>
      </c>
      <c r="D64" s="14" t="s">
        <v>117</v>
      </c>
      <c r="E64" s="14" t="n">
        <v>5</v>
      </c>
      <c r="F64" s="16" t="n">
        <v>36</v>
      </c>
      <c r="G64" s="17" t="n">
        <v>224.9</v>
      </c>
      <c r="H64" s="18" t="n">
        <f aca="false">IF(ISNUMBER(G64),IFERROR(G64/F64,""),"")</f>
        <v>6.24722222222222</v>
      </c>
      <c r="I64" s="17" t="n">
        <v>2.08</v>
      </c>
      <c r="J64" s="17" t="n">
        <v>12.9</v>
      </c>
      <c r="K64" s="14" t="s">
        <v>93</v>
      </c>
      <c r="L64" s="20" t="n">
        <v>11.9</v>
      </c>
      <c r="M64" s="18" t="n">
        <f aca="false">IFERROR(L64*(1-Premissas!$B$5)*(1-Premissas!$B$6)-H64-Premissas!$B$7,"")</f>
        <v>3.94472777777778</v>
      </c>
      <c r="N64" s="21" t="n">
        <f aca="false">IFERROR(M64/L64,"")</f>
        <v>0.331489729225023</v>
      </c>
      <c r="O64" s="18" t="n">
        <f aca="false">IFERROR(L64*(1-Premissas!$B$8)-Premissas!$B$9-H64-Premissas!$B$7,"")</f>
        <v>-3.02522222222222</v>
      </c>
      <c r="P64" s="18" t="n">
        <f aca="false">IFERROR(L64*(1-Premissas!$B$10)-Premissas!$B$11-H64-Premissas!$B$7,"")</f>
        <v>-1.72722222222222</v>
      </c>
      <c r="Q64" s="18" t="n">
        <f aca="false">IFERROR(M64*F64,"")</f>
        <v>142.0102</v>
      </c>
      <c r="R64" s="22" t="n">
        <f aca="false">IFERROR(IF(M64&gt;0,ROUNDUP(Premissas!$B$12/M64,0),"sem lucro"),"")</f>
        <v>254</v>
      </c>
      <c r="S64" s="15" t="s">
        <v>260</v>
      </c>
      <c r="T64" s="23" t="s">
        <v>76</v>
      </c>
      <c r="U64" s="15" t="s">
        <v>261</v>
      </c>
      <c r="V64" s="18" t="n">
        <f aca="false">IF(AND(T64="S",ISNUMBER(L64),ISNUMBER(F64)),L64*F64*X64,0)</f>
        <v>0</v>
      </c>
      <c r="W64" s="18" t="n">
        <f aca="false">IF(AND(T64="S",ISNUMBER(Q64)),Q64*X64,0)</f>
        <v>0</v>
      </c>
      <c r="X64" s="23" t="n">
        <v>1</v>
      </c>
      <c r="Y64" s="18" t="n">
        <f aca="false">IF(AND(T64="S",ISNUMBER(G64)),G64*X64,0)</f>
        <v>0</v>
      </c>
    </row>
    <row r="65" customFormat="false" ht="15" hidden="false" customHeight="false" outlineLevel="0" collapsed="false">
      <c r="A65" s="14" t="s">
        <v>262</v>
      </c>
      <c r="B65" s="15" t="s">
        <v>263</v>
      </c>
      <c r="C65" s="14" t="s">
        <v>259</v>
      </c>
      <c r="D65" s="14" t="s">
        <v>117</v>
      </c>
      <c r="E65" s="14" t="n">
        <v>5</v>
      </c>
      <c r="F65" s="16" t="n">
        <v>36</v>
      </c>
      <c r="G65" s="17" t="n">
        <v>229.99</v>
      </c>
      <c r="H65" s="18" t="n">
        <f aca="false">IF(ISNUMBER(G65),IFERROR(G65/F65,""),"")</f>
        <v>6.38861111111111</v>
      </c>
      <c r="I65" s="17" t="n">
        <v>12.9</v>
      </c>
      <c r="J65" s="17" t="n">
        <v>12.9</v>
      </c>
      <c r="K65" s="19" t="s">
        <v>64</v>
      </c>
      <c r="L65" s="20" t="n">
        <v>12.9</v>
      </c>
      <c r="M65" s="18" t="n">
        <f aca="false">IFERROR(L65*(1-Premissas!$B$5)*(1-Premissas!$B$6)-H65-Premissas!$B$7,"")</f>
        <v>4.74383888888889</v>
      </c>
      <c r="N65" s="21" t="n">
        <f aca="false">IFERROR(M65/L65,"")</f>
        <v>0.367739448751077</v>
      </c>
      <c r="O65" s="18" t="n">
        <f aca="false">IFERROR(L65*(1-Premissas!$B$8)-Premissas!$B$9-H65-Premissas!$B$7,"")</f>
        <v>-2.28661111111111</v>
      </c>
      <c r="P65" s="18" t="n">
        <f aca="false">IFERROR(L65*(1-Premissas!$B$10)-Premissas!$B$11-H65-Premissas!$B$7,"")</f>
        <v>-1.06861111111111</v>
      </c>
      <c r="Q65" s="18" t="n">
        <f aca="false">IFERROR(M65*F65,"")</f>
        <v>170.7782</v>
      </c>
      <c r="R65" s="22" t="n">
        <f aca="false">IFERROR(IF(M65&gt;0,ROUNDUP(Premissas!$B$12/M65,0),"sem lucro"),"")</f>
        <v>211</v>
      </c>
      <c r="S65" s="15" t="s">
        <v>252</v>
      </c>
      <c r="T65" s="23" t="s">
        <v>76</v>
      </c>
      <c r="U65" s="15" t="s">
        <v>256</v>
      </c>
      <c r="V65" s="18" t="n">
        <f aca="false">IF(AND(T65="S",ISNUMBER(L65),ISNUMBER(F65)),L65*F65*X65,0)</f>
        <v>0</v>
      </c>
      <c r="W65" s="18" t="n">
        <f aca="false">IF(AND(T65="S",ISNUMBER(Q65)),Q65*X65,0)</f>
        <v>0</v>
      </c>
      <c r="X65" s="23" t="n">
        <v>1</v>
      </c>
      <c r="Y65" s="18" t="n">
        <f aca="false">IF(AND(T65="S",ISNUMBER(G65)),G65*X65,0)</f>
        <v>0</v>
      </c>
    </row>
    <row r="66" customFormat="false" ht="15" hidden="false" customHeight="false" outlineLevel="0" collapsed="false">
      <c r="A66" s="14" t="s">
        <v>264</v>
      </c>
      <c r="B66" s="15" t="s">
        <v>265</v>
      </c>
      <c r="C66" s="14" t="s">
        <v>207</v>
      </c>
      <c r="D66" s="14" t="s">
        <v>63</v>
      </c>
      <c r="E66" s="14" t="n">
        <v>5</v>
      </c>
      <c r="F66" s="16" t="n">
        <v>24</v>
      </c>
      <c r="G66" s="17" t="n">
        <v>158.8</v>
      </c>
      <c r="H66" s="18" t="n">
        <f aca="false">IF(ISNUMBER(G66),IFERROR(G66/F66,""),"")</f>
        <v>6.61666666666667</v>
      </c>
      <c r="I66" s="17" t="n">
        <v>12.9</v>
      </c>
      <c r="J66" s="17" t="n">
        <v>12.9</v>
      </c>
      <c r="K66" s="19" t="s">
        <v>64</v>
      </c>
      <c r="L66" s="20" t="n">
        <v>12.9</v>
      </c>
      <c r="M66" s="18" t="n">
        <f aca="false">IFERROR(L66*(1-Premissas!$B$5)*(1-Premissas!$B$6)-H66-Premissas!$B$7,"")</f>
        <v>4.51578333333333</v>
      </c>
      <c r="N66" s="21" t="n">
        <f aca="false">IFERROR(M66/L66,"")</f>
        <v>0.350060723514212</v>
      </c>
      <c r="O66" s="18" t="n">
        <f aca="false">IFERROR(L66*(1-Premissas!$B$8)-Premissas!$B$9-H66-Premissas!$B$7,"")</f>
        <v>-2.51466666666667</v>
      </c>
      <c r="P66" s="18" t="n">
        <f aca="false">IFERROR(L66*(1-Premissas!$B$10)-Premissas!$B$11-H66-Premissas!$B$7,"")</f>
        <v>-1.29666666666667</v>
      </c>
      <c r="Q66" s="18" t="n">
        <f aca="false">IFERROR(M66*F66,"")</f>
        <v>108.3788</v>
      </c>
      <c r="R66" s="22" t="n">
        <f aca="false">IFERROR(IF(M66&gt;0,ROUNDUP(Premissas!$B$12/M66,0),"sem lucro"),"")</f>
        <v>222</v>
      </c>
      <c r="S66" s="15" t="s">
        <v>266</v>
      </c>
      <c r="T66" s="23" t="s">
        <v>76</v>
      </c>
      <c r="U66" s="15" t="s">
        <v>267</v>
      </c>
      <c r="V66" s="18" t="n">
        <f aca="false">IF(AND(T66="S",ISNUMBER(L66),ISNUMBER(F66)),L66*F66*X66,0)</f>
        <v>0</v>
      </c>
      <c r="W66" s="18" t="n">
        <f aca="false">IF(AND(T66="S",ISNUMBER(Q66)),Q66*X66,0)</f>
        <v>0</v>
      </c>
      <c r="X66" s="23" t="n">
        <v>1</v>
      </c>
      <c r="Y66" s="18" t="n">
        <f aca="false">IF(AND(T66="S",ISNUMBER(G66)),G66*X66,0)</f>
        <v>0</v>
      </c>
    </row>
    <row r="67" customFormat="false" ht="15" hidden="false" customHeight="false" outlineLevel="0" collapsed="false">
      <c r="A67" s="14" t="s">
        <v>268</v>
      </c>
      <c r="B67" s="15" t="s">
        <v>269</v>
      </c>
      <c r="C67" s="14" t="s">
        <v>207</v>
      </c>
      <c r="D67" s="14" t="s">
        <v>63</v>
      </c>
      <c r="E67" s="14" t="n">
        <v>5</v>
      </c>
      <c r="F67" s="16" t="n">
        <v>48</v>
      </c>
      <c r="G67" s="17" t="n">
        <v>115.99</v>
      </c>
      <c r="H67" s="18" t="n">
        <f aca="false">IF(ISNUMBER(G67),IFERROR(G67/F67,""),"")</f>
        <v>2.41645833333333</v>
      </c>
      <c r="I67" s="17" t="n">
        <v>6.76</v>
      </c>
      <c r="J67" s="17" t="n">
        <v>15.9</v>
      </c>
      <c r="K67" s="14" t="s">
        <v>93</v>
      </c>
      <c r="L67" s="20" t="n">
        <v>12.9</v>
      </c>
      <c r="M67" s="18" t="n">
        <f aca="false">IFERROR(L67*(1-Premissas!$B$5)*(1-Premissas!$B$6)-H67-Premissas!$B$7,"")</f>
        <v>8.71599166666667</v>
      </c>
      <c r="N67" s="21" t="n">
        <f aca="false">IFERROR(M67/L67,"")</f>
        <v>0.67565826873385</v>
      </c>
      <c r="O67" s="18" t="n">
        <f aca="false">IFERROR(L67*(1-Premissas!$B$8)-Premissas!$B$9-H67-Premissas!$B$7,"")</f>
        <v>1.68554166666667</v>
      </c>
      <c r="P67" s="18" t="n">
        <f aca="false">IFERROR(L67*(1-Premissas!$B$10)-Premissas!$B$11-H67-Premissas!$B$7,"")</f>
        <v>2.90354166666667</v>
      </c>
      <c r="Q67" s="18" t="n">
        <f aca="false">IFERROR(M67*F67,"")</f>
        <v>418.3676</v>
      </c>
      <c r="R67" s="22" t="n">
        <f aca="false">IFERROR(IF(M67&gt;0,ROUNDUP(Premissas!$B$12/M67,0),"sem lucro"),"")</f>
        <v>115</v>
      </c>
      <c r="S67" s="15" t="s">
        <v>65</v>
      </c>
      <c r="T67" s="23" t="s">
        <v>66</v>
      </c>
      <c r="U67" s="15" t="s">
        <v>270</v>
      </c>
      <c r="V67" s="18" t="n">
        <f aca="false">IF(AND(T67="S",ISNUMBER(L67),ISNUMBER(F67)),L67*F67*X67,0)</f>
        <v>619.2</v>
      </c>
      <c r="W67" s="18" t="n">
        <f aca="false">IF(AND(T67="S",ISNUMBER(Q67)),Q67*X67,0)</f>
        <v>418.3676</v>
      </c>
      <c r="X67" s="23" t="n">
        <v>1</v>
      </c>
      <c r="Y67" s="18" t="n">
        <f aca="false">IF(AND(T67="S",ISNUMBER(G67)),G67*X67,0)</f>
        <v>115.99</v>
      </c>
    </row>
    <row r="68" customFormat="false" ht="15" hidden="false" customHeight="false" outlineLevel="0" collapsed="false">
      <c r="A68" s="14" t="s">
        <v>271</v>
      </c>
      <c r="B68" s="15" t="s">
        <v>272</v>
      </c>
      <c r="C68" s="14" t="s">
        <v>207</v>
      </c>
      <c r="D68" s="14" t="s">
        <v>157</v>
      </c>
      <c r="E68" s="14" t="n">
        <v>5</v>
      </c>
      <c r="F68" s="16" t="n">
        <v>24</v>
      </c>
      <c r="G68" s="17" t="n">
        <v>158.8</v>
      </c>
      <c r="H68" s="18" t="n">
        <f aca="false">IF(ISNUMBER(G68),IFERROR(G68/F68,""),"")</f>
        <v>6.61666666666667</v>
      </c>
      <c r="I68" s="17" t="n">
        <v>12.9</v>
      </c>
      <c r="J68" s="17" t="n">
        <v>12.9</v>
      </c>
      <c r="K68" s="19" t="s">
        <v>64</v>
      </c>
      <c r="L68" s="20" t="n">
        <v>12.9</v>
      </c>
      <c r="M68" s="18" t="n">
        <f aca="false">IFERROR(L68*(1-Premissas!$B$5)*(1-Premissas!$B$6)-H68-Premissas!$B$7,"")</f>
        <v>4.51578333333333</v>
      </c>
      <c r="N68" s="21" t="n">
        <f aca="false">IFERROR(M68/L68,"")</f>
        <v>0.350060723514212</v>
      </c>
      <c r="O68" s="18" t="n">
        <f aca="false">IFERROR(L68*(1-Premissas!$B$8)-Premissas!$B$9-H68-Premissas!$B$7,"")</f>
        <v>-2.51466666666667</v>
      </c>
      <c r="P68" s="18" t="n">
        <f aca="false">IFERROR(L68*(1-Premissas!$B$10)-Premissas!$B$11-H68-Premissas!$B$7,"")</f>
        <v>-1.29666666666667</v>
      </c>
      <c r="Q68" s="18" t="n">
        <f aca="false">IFERROR(M68*F68,"")</f>
        <v>108.3788</v>
      </c>
      <c r="R68" s="22" t="n">
        <f aca="false">IFERROR(IF(M68&gt;0,ROUNDUP(Premissas!$B$12/M68,0),"sem lucro"),"")</f>
        <v>222</v>
      </c>
      <c r="S68" s="15" t="s">
        <v>266</v>
      </c>
      <c r="T68" s="23" t="s">
        <v>76</v>
      </c>
      <c r="U68" s="15" t="s">
        <v>267</v>
      </c>
      <c r="V68" s="18" t="n">
        <f aca="false">IF(AND(T68="S",ISNUMBER(L68),ISNUMBER(F68)),L68*F68*X68,0)</f>
        <v>0</v>
      </c>
      <c r="W68" s="18" t="n">
        <f aca="false">IF(AND(T68="S",ISNUMBER(Q68)),Q68*X68,0)</f>
        <v>0</v>
      </c>
      <c r="X68" s="23" t="n">
        <v>1</v>
      </c>
      <c r="Y68" s="18" t="n">
        <f aca="false">IF(AND(T68="S",ISNUMBER(G68)),G68*X68,0)</f>
        <v>0</v>
      </c>
    </row>
    <row r="69" customFormat="false" ht="15" hidden="false" customHeight="false" outlineLevel="0" collapsed="false">
      <c r="A69" s="14" t="s">
        <v>273</v>
      </c>
      <c r="B69" s="15" t="s">
        <v>274</v>
      </c>
      <c r="C69" s="14" t="s">
        <v>207</v>
      </c>
      <c r="D69" s="14" t="s">
        <v>117</v>
      </c>
      <c r="E69" s="14" t="n">
        <v>5</v>
      </c>
      <c r="F69" s="16" t="n">
        <v>24</v>
      </c>
      <c r="G69" s="17" t="n">
        <v>161.7</v>
      </c>
      <c r="H69" s="18" t="n">
        <f aca="false">IF(ISNUMBER(G69),IFERROR(G69/F69,""),"")</f>
        <v>6.7375</v>
      </c>
      <c r="I69" s="17" t="n">
        <v>12.9</v>
      </c>
      <c r="J69" s="17" t="n">
        <v>12.9</v>
      </c>
      <c r="K69" s="19" t="s">
        <v>64</v>
      </c>
      <c r="L69" s="20" t="n">
        <v>12.9</v>
      </c>
      <c r="M69" s="18" t="n">
        <f aca="false">IFERROR(L69*(1-Premissas!$B$5)*(1-Premissas!$B$6)-H69-Premissas!$B$7,"")</f>
        <v>4.39495</v>
      </c>
      <c r="N69" s="21" t="n">
        <f aca="false">IFERROR(M69/L69,"")</f>
        <v>0.340693798449612</v>
      </c>
      <c r="O69" s="18" t="n">
        <f aca="false">IFERROR(L69*(1-Premissas!$B$8)-Premissas!$B$9-H69-Premissas!$B$7,"")</f>
        <v>-2.6355</v>
      </c>
      <c r="P69" s="18" t="n">
        <f aca="false">IFERROR(L69*(1-Premissas!$B$10)-Premissas!$B$11-H69-Premissas!$B$7,"")</f>
        <v>-1.4175</v>
      </c>
      <c r="Q69" s="18" t="n">
        <f aca="false">IFERROR(M69*F69,"")</f>
        <v>105.4788</v>
      </c>
      <c r="R69" s="22" t="n">
        <f aca="false">IFERROR(IF(M69&gt;0,ROUNDUP(Premissas!$B$12/M69,0),"sem lucro"),"")</f>
        <v>228</v>
      </c>
      <c r="S69" s="15" t="s">
        <v>252</v>
      </c>
      <c r="T69" s="23" t="s">
        <v>76</v>
      </c>
      <c r="U69" s="15"/>
      <c r="V69" s="18" t="n">
        <f aca="false">IF(AND(T69="S",ISNUMBER(L69),ISNUMBER(F69)),L69*F69*X69,0)</f>
        <v>0</v>
      </c>
      <c r="W69" s="18" t="n">
        <f aca="false">IF(AND(T69="S",ISNUMBER(Q69)),Q69*X69,0)</f>
        <v>0</v>
      </c>
      <c r="X69" s="23" t="n">
        <v>1</v>
      </c>
      <c r="Y69" s="18" t="n">
        <f aca="false">IF(AND(T69="S",ISNUMBER(G69)),G69*X69,0)</f>
        <v>0</v>
      </c>
    </row>
    <row r="70" customFormat="false" ht="15" hidden="false" customHeight="false" outlineLevel="0" collapsed="false">
      <c r="A70" s="14" t="s">
        <v>275</v>
      </c>
      <c r="B70" s="15" t="s">
        <v>276</v>
      </c>
      <c r="C70" s="14" t="s">
        <v>207</v>
      </c>
      <c r="D70" s="14" t="s">
        <v>63</v>
      </c>
      <c r="E70" s="14" t="n">
        <v>5</v>
      </c>
      <c r="F70" s="16" t="n">
        <v>24</v>
      </c>
      <c r="G70" s="17" t="n">
        <v>158.8</v>
      </c>
      <c r="H70" s="18" t="n">
        <f aca="false">IF(ISNUMBER(G70),IFERROR(G70/F70,""),"")</f>
        <v>6.61666666666667</v>
      </c>
      <c r="I70" s="17" t="n">
        <v>19.9</v>
      </c>
      <c r="J70" s="17" t="n">
        <v>21.7</v>
      </c>
      <c r="K70" s="14" t="s">
        <v>93</v>
      </c>
      <c r="L70" s="20" t="n">
        <v>17.9</v>
      </c>
      <c r="M70" s="18" t="n">
        <f aca="false">IFERROR(L70*(1-Premissas!$B$5)*(1-Premissas!$B$6)-H70-Premissas!$B$7,"")</f>
        <v>9.21828333333333</v>
      </c>
      <c r="N70" s="21" t="n">
        <f aca="false">IFERROR(M70/L70,"")</f>
        <v>0.514987895716946</v>
      </c>
      <c r="O70" s="18" t="n">
        <f aca="false">IFERROR(L70*(1-Premissas!$B$8)-Premissas!$B$9-H70-Premissas!$B$7,"")</f>
        <v>1.88533333333333</v>
      </c>
      <c r="P70" s="18" t="n">
        <f aca="false">IFERROR(L70*(1-Premissas!$B$10)-Premissas!$B$11-H70-Premissas!$B$7,"")</f>
        <v>2.70333333333333</v>
      </c>
      <c r="Q70" s="18" t="n">
        <f aca="false">IFERROR(M70*F70,"")</f>
        <v>221.2388</v>
      </c>
      <c r="R70" s="22" t="n">
        <f aca="false">IFERROR(IF(M70&gt;0,ROUNDUP(Premissas!$B$12/M70,0),"sem lucro"),"")</f>
        <v>109</v>
      </c>
      <c r="S70" s="15" t="s">
        <v>65</v>
      </c>
      <c r="T70" s="23" t="s">
        <v>66</v>
      </c>
      <c r="U70" s="15" t="s">
        <v>277</v>
      </c>
      <c r="V70" s="18" t="n">
        <f aca="false">IF(AND(T70="S",ISNUMBER(L70),ISNUMBER(F70)),L70*F70*X70,0)</f>
        <v>429.6</v>
      </c>
      <c r="W70" s="18" t="n">
        <f aca="false">IF(AND(T70="S",ISNUMBER(Q70)),Q70*X70,0)</f>
        <v>221.2388</v>
      </c>
      <c r="X70" s="23" t="n">
        <v>1</v>
      </c>
      <c r="Y70" s="18" t="n">
        <f aca="false">IF(AND(T70="S",ISNUMBER(G70)),G70*X70,0)</f>
        <v>158.8</v>
      </c>
    </row>
    <row r="71" customFormat="false" ht="15" hidden="false" customHeight="false" outlineLevel="0" collapsed="false">
      <c r="A71" s="14" t="s">
        <v>278</v>
      </c>
      <c r="B71" s="15" t="s">
        <v>279</v>
      </c>
      <c r="C71" s="14" t="s">
        <v>207</v>
      </c>
      <c r="D71" s="14" t="s">
        <v>125</v>
      </c>
      <c r="E71" s="14" t="n">
        <v>5</v>
      </c>
      <c r="F71" s="16" t="n">
        <v>24</v>
      </c>
      <c r="G71" s="17" t="n">
        <v>126.4</v>
      </c>
      <c r="H71" s="18" t="n">
        <f aca="false">IF(ISNUMBER(G71),IFERROR(G71/F71,""),"")</f>
        <v>5.26666666666667</v>
      </c>
      <c r="I71" s="17" t="n">
        <v>12.9</v>
      </c>
      <c r="J71" s="17" t="n">
        <v>12.9</v>
      </c>
      <c r="K71" s="19" t="s">
        <v>64</v>
      </c>
      <c r="L71" s="20" t="n">
        <v>12.9</v>
      </c>
      <c r="M71" s="18" t="n">
        <f aca="false">IFERROR(L71*(1-Premissas!$B$5)*(1-Premissas!$B$6)-H71-Premissas!$B$7,"")</f>
        <v>5.86578333333333</v>
      </c>
      <c r="N71" s="21" t="n">
        <f aca="false">IFERROR(M71/L71,"")</f>
        <v>0.454711886304909</v>
      </c>
      <c r="O71" s="18" t="n">
        <f aca="false">IFERROR(L71*(1-Premissas!$B$8)-Premissas!$B$9-H71-Premissas!$B$7,"")</f>
        <v>-1.16466666666667</v>
      </c>
      <c r="P71" s="18" t="n">
        <f aca="false">IFERROR(L71*(1-Premissas!$B$10)-Premissas!$B$11-H71-Premissas!$B$7,"")</f>
        <v>0.0533333333333337</v>
      </c>
      <c r="Q71" s="18" t="n">
        <f aca="false">IFERROR(M71*F71,"")</f>
        <v>140.7788</v>
      </c>
      <c r="R71" s="22" t="n">
        <f aca="false">IFERROR(IF(M71&gt;0,ROUNDUP(Premissas!$B$12/M71,0),"sem lucro"),"")</f>
        <v>171</v>
      </c>
      <c r="S71" s="15" t="s">
        <v>82</v>
      </c>
      <c r="T71" s="23" t="s">
        <v>76</v>
      </c>
      <c r="U71" s="15"/>
      <c r="V71" s="18" t="n">
        <f aca="false">IF(AND(T71="S",ISNUMBER(L71),ISNUMBER(F71)),L71*F71*X71,0)</f>
        <v>0</v>
      </c>
      <c r="W71" s="18" t="n">
        <f aca="false">IF(AND(T71="S",ISNUMBER(Q71)),Q71*X71,0)</f>
        <v>0</v>
      </c>
      <c r="X71" s="23" t="n">
        <v>1</v>
      </c>
      <c r="Y71" s="18" t="n">
        <f aca="false">IF(AND(T71="S",ISNUMBER(G71)),G71*X71,0)</f>
        <v>0</v>
      </c>
    </row>
    <row r="72" customFormat="false" ht="15" hidden="false" customHeight="false" outlineLevel="0" collapsed="false">
      <c r="A72" s="14" t="s">
        <v>280</v>
      </c>
      <c r="B72" s="15" t="s">
        <v>281</v>
      </c>
      <c r="C72" s="14" t="s">
        <v>207</v>
      </c>
      <c r="D72" s="14" t="s">
        <v>117</v>
      </c>
      <c r="E72" s="14" t="n">
        <v>5</v>
      </c>
      <c r="F72" s="16" t="n">
        <v>24</v>
      </c>
      <c r="G72" s="17" t="n">
        <v>148.8</v>
      </c>
      <c r="H72" s="18" t="n">
        <f aca="false">IF(ISNUMBER(G72),IFERROR(G72/F72,""),"")</f>
        <v>6.2</v>
      </c>
      <c r="I72" s="17" t="n">
        <v>10</v>
      </c>
      <c r="J72" s="17" t="n">
        <v>12.9</v>
      </c>
      <c r="K72" s="19" t="s">
        <v>64</v>
      </c>
      <c r="L72" s="20" t="n">
        <v>11.9</v>
      </c>
      <c r="M72" s="18" t="n">
        <f aca="false">IFERROR(L72*(1-Premissas!$B$5)*(1-Premissas!$B$6)-H72-Premissas!$B$7,"")</f>
        <v>3.99195</v>
      </c>
      <c r="N72" s="21" t="n">
        <f aca="false">IFERROR(M72/L72,"")</f>
        <v>0.335457983193277</v>
      </c>
      <c r="O72" s="18" t="n">
        <f aca="false">IFERROR(L72*(1-Premissas!$B$8)-Premissas!$B$9-H72-Premissas!$B$7,"")</f>
        <v>-2.978</v>
      </c>
      <c r="P72" s="18" t="n">
        <f aca="false">IFERROR(L72*(1-Premissas!$B$10)-Premissas!$B$11-H72-Premissas!$B$7,"")</f>
        <v>-1.68</v>
      </c>
      <c r="Q72" s="18" t="n">
        <f aca="false">IFERROR(M72*F72,"")</f>
        <v>95.8068</v>
      </c>
      <c r="R72" s="22" t="n">
        <f aca="false">IFERROR(IF(M72&gt;0,ROUNDUP(Premissas!$B$12/M72,0),"sem lucro"),"")</f>
        <v>251</v>
      </c>
      <c r="S72" s="15" t="s">
        <v>82</v>
      </c>
      <c r="T72" s="23" t="s">
        <v>76</v>
      </c>
      <c r="U72" s="15"/>
      <c r="V72" s="18" t="n">
        <f aca="false">IF(AND(T72="S",ISNUMBER(L72),ISNUMBER(F72)),L72*F72*X72,0)</f>
        <v>0</v>
      </c>
      <c r="W72" s="18" t="n">
        <f aca="false">IF(AND(T72="S",ISNUMBER(Q72)),Q72*X72,0)</f>
        <v>0</v>
      </c>
      <c r="X72" s="23" t="n">
        <v>1</v>
      </c>
      <c r="Y72" s="18" t="n">
        <f aca="false">IF(AND(T72="S",ISNUMBER(G72)),G72*X72,0)</f>
        <v>0</v>
      </c>
    </row>
    <row r="73" customFormat="false" ht="26.85" hidden="false" customHeight="false" outlineLevel="0" collapsed="false">
      <c r="A73" s="14" t="s">
        <v>282</v>
      </c>
      <c r="B73" s="15" t="s">
        <v>283</v>
      </c>
      <c r="C73" s="14" t="s">
        <v>207</v>
      </c>
      <c r="D73" s="14" t="s">
        <v>125</v>
      </c>
      <c r="E73" s="14" t="n">
        <v>5</v>
      </c>
      <c r="F73" s="16" t="n">
        <v>1</v>
      </c>
      <c r="G73" s="17" t="n">
        <v>6.8</v>
      </c>
      <c r="H73" s="18" t="n">
        <f aca="false">IF(ISNUMBER(G73),IFERROR(G73/F73,""),"")</f>
        <v>6.8</v>
      </c>
      <c r="I73" s="17" t="n">
        <v>11.99</v>
      </c>
      <c r="J73" s="17" t="n">
        <v>45.9</v>
      </c>
      <c r="K73" s="19" t="s">
        <v>64</v>
      </c>
      <c r="L73" s="20" t="n">
        <v>19.9</v>
      </c>
      <c r="M73" s="18" t="n">
        <f aca="false">IFERROR(L73*(1-Premissas!$B$5)*(1-Premissas!$B$6)-H73-Premissas!$B$7,"")</f>
        <v>10.91595</v>
      </c>
      <c r="N73" s="21" t="n">
        <f aca="false">IFERROR(M73/L73,"")</f>
        <v>0.548540201005025</v>
      </c>
      <c r="O73" s="18" t="n">
        <f aca="false">IFERROR(L73*(1-Premissas!$B$8)-Premissas!$B$9-H73-Premissas!$B$7,"")</f>
        <v>3.462</v>
      </c>
      <c r="P73" s="18" t="n">
        <f aca="false">IFERROR(L73*(1-Premissas!$B$10)-Premissas!$B$11-H73-Premissas!$B$7,"")</f>
        <v>4.12</v>
      </c>
      <c r="Q73" s="18" t="n">
        <f aca="false">IFERROR(M73*F73,"")</f>
        <v>10.91595</v>
      </c>
      <c r="R73" s="22" t="n">
        <f aca="false">IFERROR(IF(M73&gt;0,ROUNDUP(Premissas!$B$12/M73,0),"sem lucro"),"")</f>
        <v>92</v>
      </c>
      <c r="S73" s="15" t="s">
        <v>65</v>
      </c>
      <c r="T73" s="23" t="s">
        <v>66</v>
      </c>
      <c r="U73" s="15" t="s">
        <v>284</v>
      </c>
      <c r="V73" s="18" t="n">
        <f aca="false">IF(AND(T73="S",ISNUMBER(L73),ISNUMBER(F73)),L73*F73*X73,0)</f>
        <v>238.8</v>
      </c>
      <c r="W73" s="18" t="n">
        <f aca="false">IF(AND(T73="S",ISNUMBER(Q73)),Q73*X73,0)</f>
        <v>130.9914</v>
      </c>
      <c r="X73" s="23" t="n">
        <v>12</v>
      </c>
      <c r="Y73" s="18" t="n">
        <f aca="false">IF(AND(T73="S",ISNUMBER(G73)),G73*X73,0)</f>
        <v>81.6</v>
      </c>
    </row>
    <row r="74" customFormat="false" ht="15" hidden="false" customHeight="false" outlineLevel="0" collapsed="false">
      <c r="A74" s="14" t="s">
        <v>285</v>
      </c>
      <c r="B74" s="15" t="s">
        <v>286</v>
      </c>
      <c r="C74" s="14" t="s">
        <v>207</v>
      </c>
      <c r="D74" s="14" t="s">
        <v>63</v>
      </c>
      <c r="E74" s="14" t="n">
        <v>6</v>
      </c>
      <c r="F74" s="16" t="n">
        <v>24</v>
      </c>
      <c r="G74" s="17" t="n">
        <v>93.99</v>
      </c>
      <c r="H74" s="18" t="n">
        <f aca="false">IF(ISNUMBER(G74),IFERROR(G74/F74,""),"")</f>
        <v>3.91625</v>
      </c>
      <c r="I74" s="17" t="n">
        <v>12.9</v>
      </c>
      <c r="J74" s="17" t="n">
        <v>12.9</v>
      </c>
      <c r="K74" s="19" t="s">
        <v>64</v>
      </c>
      <c r="L74" s="20" t="n">
        <v>12.9</v>
      </c>
      <c r="M74" s="18" t="n">
        <f aca="false">IFERROR(L74*(1-Premissas!$B$5)*(1-Premissas!$B$6)-H74-Premissas!$B$7,"")</f>
        <v>7.2162</v>
      </c>
      <c r="N74" s="21" t="n">
        <f aca="false">IFERROR(M74/L74,"")</f>
        <v>0.559395348837209</v>
      </c>
      <c r="O74" s="18" t="n">
        <f aca="false">IFERROR(L74*(1-Premissas!$B$8)-Premissas!$B$9-H74-Premissas!$B$7,"")</f>
        <v>0.185750000000001</v>
      </c>
      <c r="P74" s="18" t="n">
        <f aca="false">IFERROR(L74*(1-Premissas!$B$10)-Premissas!$B$11-H74-Premissas!$B$7,"")</f>
        <v>1.40375</v>
      </c>
      <c r="Q74" s="18" t="n">
        <f aca="false">IFERROR(M74*F74,"")</f>
        <v>173.1888</v>
      </c>
      <c r="R74" s="22" t="n">
        <f aca="false">IFERROR(IF(M74&gt;0,ROUNDUP(Premissas!$B$12/M74,0),"sem lucro"),"")</f>
        <v>139</v>
      </c>
      <c r="S74" s="15" t="s">
        <v>287</v>
      </c>
      <c r="T74" s="23" t="s">
        <v>66</v>
      </c>
      <c r="U74" s="15" t="s">
        <v>288</v>
      </c>
      <c r="V74" s="18" t="n">
        <f aca="false">IF(AND(T74="S",ISNUMBER(L74),ISNUMBER(F74)),L74*F74*X74,0)</f>
        <v>309.6</v>
      </c>
      <c r="W74" s="18" t="n">
        <f aca="false">IF(AND(T74="S",ISNUMBER(Q74)),Q74*X74,0)</f>
        <v>173.1888</v>
      </c>
      <c r="X74" s="23" t="n">
        <v>1</v>
      </c>
      <c r="Y74" s="18" t="n">
        <f aca="false">IF(AND(T74="S",ISNUMBER(G74)),G74*X74,0)</f>
        <v>93.99</v>
      </c>
    </row>
    <row r="75" customFormat="false" ht="15" hidden="false" customHeight="false" outlineLevel="0" collapsed="false">
      <c r="A75" s="14" t="s">
        <v>289</v>
      </c>
      <c r="B75" s="15" t="s">
        <v>290</v>
      </c>
      <c r="C75" s="14" t="s">
        <v>291</v>
      </c>
      <c r="D75" s="14" t="s">
        <v>125</v>
      </c>
      <c r="E75" s="14" t="n">
        <v>6</v>
      </c>
      <c r="F75" s="16" t="n">
        <v>24</v>
      </c>
      <c r="G75" s="17" t="n">
        <v>142.9</v>
      </c>
      <c r="H75" s="18" t="n">
        <f aca="false">IF(ISNUMBER(G75),IFERROR(G75/F75,""),"")</f>
        <v>5.95416666666667</v>
      </c>
      <c r="I75" s="17" t="n">
        <v>10</v>
      </c>
      <c r="J75" s="17" t="n">
        <v>12.9</v>
      </c>
      <c r="K75" s="19" t="s">
        <v>64</v>
      </c>
      <c r="L75" s="20" t="n">
        <v>11.9</v>
      </c>
      <c r="M75" s="18" t="n">
        <f aca="false">IFERROR(L75*(1-Premissas!$B$5)*(1-Premissas!$B$6)-H75-Premissas!$B$7,"")</f>
        <v>4.23778333333333</v>
      </c>
      <c r="N75" s="21" t="n">
        <f aca="false">IFERROR(M75/L75,"")</f>
        <v>0.356116246498599</v>
      </c>
      <c r="O75" s="18" t="n">
        <f aca="false">IFERROR(L75*(1-Premissas!$B$8)-Premissas!$B$9-H75-Premissas!$B$7,"")</f>
        <v>-2.73216666666667</v>
      </c>
      <c r="P75" s="18" t="n">
        <f aca="false">IFERROR(L75*(1-Premissas!$B$10)-Premissas!$B$11-H75-Premissas!$B$7,"")</f>
        <v>-1.43416666666667</v>
      </c>
      <c r="Q75" s="18" t="n">
        <f aca="false">IFERROR(M75*F75,"")</f>
        <v>101.7068</v>
      </c>
      <c r="R75" s="22" t="n">
        <f aca="false">IFERROR(IF(M75&gt;0,ROUNDUP(Premissas!$B$12/M75,0),"sem lucro"),"")</f>
        <v>236</v>
      </c>
      <c r="S75" s="15" t="s">
        <v>266</v>
      </c>
      <c r="T75" s="23" t="s">
        <v>76</v>
      </c>
      <c r="U75" s="15" t="s">
        <v>267</v>
      </c>
      <c r="V75" s="18" t="n">
        <f aca="false">IF(AND(T75="S",ISNUMBER(L75),ISNUMBER(F75)),L75*F75*X75,0)</f>
        <v>0</v>
      </c>
      <c r="W75" s="18" t="n">
        <f aca="false">IF(AND(T75="S",ISNUMBER(Q75)),Q75*X75,0)</f>
        <v>0</v>
      </c>
      <c r="X75" s="23" t="n">
        <v>1</v>
      </c>
      <c r="Y75" s="18" t="n">
        <f aca="false">IF(AND(T75="S",ISNUMBER(G75)),G75*X75,0)</f>
        <v>0</v>
      </c>
    </row>
    <row r="76" customFormat="false" ht="15" hidden="false" customHeight="false" outlineLevel="0" collapsed="false">
      <c r="A76" s="14" t="s">
        <v>292</v>
      </c>
      <c r="B76" s="15" t="s">
        <v>293</v>
      </c>
      <c r="C76" s="14" t="s">
        <v>291</v>
      </c>
      <c r="D76" s="14" t="s">
        <v>117</v>
      </c>
      <c r="E76" s="14" t="n">
        <v>6</v>
      </c>
      <c r="F76" s="16" t="n">
        <v>24</v>
      </c>
      <c r="G76" s="17" t="n">
        <v>142.9</v>
      </c>
      <c r="H76" s="18" t="n">
        <f aca="false">IF(ISNUMBER(G76),IFERROR(G76/F76,""),"")</f>
        <v>5.95416666666667</v>
      </c>
      <c r="I76" s="17" t="n">
        <v>10</v>
      </c>
      <c r="J76" s="17" t="n">
        <v>12.9</v>
      </c>
      <c r="K76" s="19" t="s">
        <v>64</v>
      </c>
      <c r="L76" s="20" t="n">
        <v>11.9</v>
      </c>
      <c r="M76" s="18" t="n">
        <f aca="false">IFERROR(L76*(1-Premissas!$B$5)*(1-Premissas!$B$6)-H76-Premissas!$B$7,"")</f>
        <v>4.23778333333333</v>
      </c>
      <c r="N76" s="21" t="n">
        <f aca="false">IFERROR(M76/L76,"")</f>
        <v>0.356116246498599</v>
      </c>
      <c r="O76" s="18" t="n">
        <f aca="false">IFERROR(L76*(1-Premissas!$B$8)-Premissas!$B$9-H76-Premissas!$B$7,"")</f>
        <v>-2.73216666666667</v>
      </c>
      <c r="P76" s="18" t="n">
        <f aca="false">IFERROR(L76*(1-Premissas!$B$10)-Premissas!$B$11-H76-Premissas!$B$7,"")</f>
        <v>-1.43416666666667</v>
      </c>
      <c r="Q76" s="18" t="n">
        <f aca="false">IFERROR(M76*F76,"")</f>
        <v>101.7068</v>
      </c>
      <c r="R76" s="22" t="n">
        <f aca="false">IFERROR(IF(M76&gt;0,ROUNDUP(Premissas!$B$12/M76,0),"sem lucro"),"")</f>
        <v>236</v>
      </c>
      <c r="S76" s="15" t="s">
        <v>294</v>
      </c>
      <c r="T76" s="23" t="s">
        <v>76</v>
      </c>
      <c r="U76" s="15"/>
      <c r="V76" s="18" t="n">
        <f aca="false">IF(AND(T76="S",ISNUMBER(L76),ISNUMBER(F76)),L76*F76*X76,0)</f>
        <v>0</v>
      </c>
      <c r="W76" s="18" t="n">
        <f aca="false">IF(AND(T76="S",ISNUMBER(Q76)),Q76*X76,0)</f>
        <v>0</v>
      </c>
      <c r="X76" s="23" t="n">
        <v>1</v>
      </c>
      <c r="Y76" s="18" t="n">
        <f aca="false">IF(AND(T76="S",ISNUMBER(G76)),G76*X76,0)</f>
        <v>0</v>
      </c>
    </row>
    <row r="77" customFormat="false" ht="15" hidden="false" customHeight="false" outlineLevel="0" collapsed="false">
      <c r="A77" s="14" t="s">
        <v>295</v>
      </c>
      <c r="B77" s="15" t="s">
        <v>296</v>
      </c>
      <c r="C77" s="14" t="s">
        <v>291</v>
      </c>
      <c r="D77" s="14" t="s">
        <v>117</v>
      </c>
      <c r="E77" s="14" t="n">
        <v>6</v>
      </c>
      <c r="F77" s="16" t="n">
        <v>24</v>
      </c>
      <c r="G77" s="17" t="n">
        <v>142.9</v>
      </c>
      <c r="H77" s="18" t="n">
        <f aca="false">IF(ISNUMBER(G77),IFERROR(G77/F77,""),"")</f>
        <v>5.95416666666667</v>
      </c>
      <c r="I77" s="17" t="n">
        <v>10</v>
      </c>
      <c r="J77" s="17" t="n">
        <v>12.9</v>
      </c>
      <c r="K77" s="19" t="s">
        <v>64</v>
      </c>
      <c r="L77" s="20" t="n">
        <v>11.9</v>
      </c>
      <c r="M77" s="18" t="n">
        <f aca="false">IFERROR(L77*(1-Premissas!$B$5)*(1-Premissas!$B$6)-H77-Premissas!$B$7,"")</f>
        <v>4.23778333333333</v>
      </c>
      <c r="N77" s="21" t="n">
        <f aca="false">IFERROR(M77/L77,"")</f>
        <v>0.356116246498599</v>
      </c>
      <c r="O77" s="18" t="n">
        <f aca="false">IFERROR(L77*(1-Premissas!$B$8)-Premissas!$B$9-H77-Premissas!$B$7,"")</f>
        <v>-2.73216666666667</v>
      </c>
      <c r="P77" s="18" t="n">
        <f aca="false">IFERROR(L77*(1-Premissas!$B$10)-Premissas!$B$11-H77-Premissas!$B$7,"")</f>
        <v>-1.43416666666667</v>
      </c>
      <c r="Q77" s="18" t="n">
        <f aca="false">IFERROR(M77*F77,"")</f>
        <v>101.7068</v>
      </c>
      <c r="R77" s="22" t="n">
        <f aca="false">IFERROR(IF(M77&gt;0,ROUNDUP(Premissas!$B$12/M77,0),"sem lucro"),"")</f>
        <v>236</v>
      </c>
      <c r="S77" s="15" t="s">
        <v>252</v>
      </c>
      <c r="T77" s="23" t="s">
        <v>76</v>
      </c>
      <c r="U77" s="15"/>
      <c r="V77" s="18" t="n">
        <f aca="false">IF(AND(T77="S",ISNUMBER(L77),ISNUMBER(F77)),L77*F77*X77,0)</f>
        <v>0</v>
      </c>
      <c r="W77" s="18" t="n">
        <f aca="false">IF(AND(T77="S",ISNUMBER(Q77)),Q77*X77,0)</f>
        <v>0</v>
      </c>
      <c r="X77" s="23" t="n">
        <v>1</v>
      </c>
      <c r="Y77" s="18" t="n">
        <f aca="false">IF(AND(T77="S",ISNUMBER(G77)),G77*X77,0)</f>
        <v>0</v>
      </c>
    </row>
    <row r="78" customFormat="false" ht="15" hidden="false" customHeight="false" outlineLevel="0" collapsed="false">
      <c r="A78" s="14" t="s">
        <v>297</v>
      </c>
      <c r="B78" s="15" t="s">
        <v>298</v>
      </c>
      <c r="C78" s="14" t="s">
        <v>291</v>
      </c>
      <c r="D78" s="14" t="s">
        <v>117</v>
      </c>
      <c r="E78" s="14" t="n">
        <v>6</v>
      </c>
      <c r="F78" s="16" t="n">
        <v>24</v>
      </c>
      <c r="G78" s="17" t="n">
        <v>131.3</v>
      </c>
      <c r="H78" s="18" t="n">
        <f aca="false">IF(ISNUMBER(G78),IFERROR(G78/F78,""),"")</f>
        <v>5.47083333333333</v>
      </c>
      <c r="I78" s="17" t="n">
        <v>10</v>
      </c>
      <c r="J78" s="17" t="n">
        <v>10</v>
      </c>
      <c r="K78" s="14" t="s">
        <v>93</v>
      </c>
      <c r="L78" s="20" t="n">
        <v>11.9</v>
      </c>
      <c r="M78" s="18" t="n">
        <f aca="false">IFERROR(L78*(1-Premissas!$B$5)*(1-Premissas!$B$6)-H78-Premissas!$B$7,"")</f>
        <v>4.72111666666667</v>
      </c>
      <c r="N78" s="21" t="n">
        <f aca="false">IFERROR(M78/L78,"")</f>
        <v>0.396732492997199</v>
      </c>
      <c r="O78" s="18" t="n">
        <f aca="false">IFERROR(L78*(1-Premissas!$B$8)-Premissas!$B$9-H78-Premissas!$B$7,"")</f>
        <v>-2.24883333333333</v>
      </c>
      <c r="P78" s="18" t="n">
        <f aca="false">IFERROR(L78*(1-Premissas!$B$10)-Premissas!$B$11-H78-Premissas!$B$7,"")</f>
        <v>-0.950833333333333</v>
      </c>
      <c r="Q78" s="18" t="n">
        <f aca="false">IFERROR(M78*F78,"")</f>
        <v>113.3068</v>
      </c>
      <c r="R78" s="22" t="n">
        <f aca="false">IFERROR(IF(M78&gt;0,ROUNDUP(Premissas!$B$12/M78,0),"sem lucro"),"")</f>
        <v>212</v>
      </c>
      <c r="S78" s="15" t="s">
        <v>82</v>
      </c>
      <c r="T78" s="23" t="s">
        <v>76</v>
      </c>
      <c r="U78" s="15" t="s">
        <v>299</v>
      </c>
      <c r="V78" s="18" t="n">
        <f aca="false">IF(AND(T78="S",ISNUMBER(L78),ISNUMBER(F78)),L78*F78*X78,0)</f>
        <v>0</v>
      </c>
      <c r="W78" s="18" t="n">
        <f aca="false">IF(AND(T78="S",ISNUMBER(Q78)),Q78*X78,0)</f>
        <v>0</v>
      </c>
      <c r="X78" s="23" t="n">
        <v>1</v>
      </c>
      <c r="Y78" s="18" t="n">
        <f aca="false">IF(AND(T78="S",ISNUMBER(G78)),G78*X78,0)</f>
        <v>0</v>
      </c>
    </row>
    <row r="79" customFormat="false" ht="15" hidden="false" customHeight="false" outlineLevel="0" collapsed="false">
      <c r="A79" s="14" t="s">
        <v>300</v>
      </c>
      <c r="B79" s="15" t="s">
        <v>301</v>
      </c>
      <c r="C79" s="14" t="s">
        <v>291</v>
      </c>
      <c r="D79" s="14" t="s">
        <v>125</v>
      </c>
      <c r="E79" s="14" t="n">
        <v>6</v>
      </c>
      <c r="F79" s="16" t="n">
        <v>24</v>
      </c>
      <c r="G79" s="17" t="n">
        <v>113.8</v>
      </c>
      <c r="H79" s="18" t="n">
        <f aca="false">IF(ISNUMBER(G79),IFERROR(G79/F79,""),"")</f>
        <v>4.74166666666667</v>
      </c>
      <c r="I79" s="17" t="n">
        <v>10</v>
      </c>
      <c r="J79" s="17" t="n">
        <v>12.9</v>
      </c>
      <c r="K79" s="19" t="s">
        <v>64</v>
      </c>
      <c r="L79" s="20" t="n">
        <v>11.9</v>
      </c>
      <c r="M79" s="18" t="n">
        <f aca="false">IFERROR(L79*(1-Premissas!$B$5)*(1-Premissas!$B$6)-H79-Premissas!$B$7,"")</f>
        <v>5.45028333333333</v>
      </c>
      <c r="N79" s="21" t="n">
        <f aca="false">IFERROR(M79/L79,"")</f>
        <v>0.458007002801121</v>
      </c>
      <c r="O79" s="18" t="n">
        <f aca="false">IFERROR(L79*(1-Premissas!$B$8)-Premissas!$B$9-H79-Premissas!$B$7,"")</f>
        <v>-1.51966666666667</v>
      </c>
      <c r="P79" s="18" t="n">
        <f aca="false">IFERROR(L79*(1-Premissas!$B$10)-Premissas!$B$11-H79-Premissas!$B$7,"")</f>
        <v>-0.221666666666665</v>
      </c>
      <c r="Q79" s="18" t="n">
        <f aca="false">IFERROR(M79*F79,"")</f>
        <v>130.8068</v>
      </c>
      <c r="R79" s="22" t="n">
        <f aca="false">IFERROR(IF(M79&gt;0,ROUNDUP(Premissas!$B$12/M79,0),"sem lucro"),"")</f>
        <v>184</v>
      </c>
      <c r="S79" s="15" t="s">
        <v>82</v>
      </c>
      <c r="T79" s="23" t="s">
        <v>76</v>
      </c>
      <c r="U79" s="15"/>
      <c r="V79" s="18" t="n">
        <f aca="false">IF(AND(T79="S",ISNUMBER(L79),ISNUMBER(F79)),L79*F79*X79,0)</f>
        <v>0</v>
      </c>
      <c r="W79" s="18" t="n">
        <f aca="false">IF(AND(T79="S",ISNUMBER(Q79)),Q79*X79,0)</f>
        <v>0</v>
      </c>
      <c r="X79" s="23" t="n">
        <v>1</v>
      </c>
      <c r="Y79" s="18" t="n">
        <f aca="false">IF(AND(T79="S",ISNUMBER(G79)),G79*X79,0)</f>
        <v>0</v>
      </c>
    </row>
    <row r="80" customFormat="false" ht="15" hidden="false" customHeight="false" outlineLevel="0" collapsed="false">
      <c r="A80" s="14" t="s">
        <v>302</v>
      </c>
      <c r="B80" s="15" t="s">
        <v>303</v>
      </c>
      <c r="C80" s="14" t="s">
        <v>291</v>
      </c>
      <c r="D80" s="14" t="s">
        <v>125</v>
      </c>
      <c r="E80" s="14" t="n">
        <v>6</v>
      </c>
      <c r="F80" s="16" t="n">
        <v>24</v>
      </c>
      <c r="G80" s="17" t="n">
        <v>113.6</v>
      </c>
      <c r="H80" s="18" t="n">
        <f aca="false">IF(ISNUMBER(G80),IFERROR(G80/F80,""),"")</f>
        <v>4.73333333333333</v>
      </c>
      <c r="I80" s="17" t="n">
        <v>10</v>
      </c>
      <c r="J80" s="17" t="n">
        <v>12.9</v>
      </c>
      <c r="K80" s="19" t="s">
        <v>64</v>
      </c>
      <c r="L80" s="20" t="n">
        <v>12.9</v>
      </c>
      <c r="M80" s="18" t="n">
        <f aca="false">IFERROR(L80*(1-Premissas!$B$5)*(1-Premissas!$B$6)-H80-Premissas!$B$7,"")</f>
        <v>6.39911666666667</v>
      </c>
      <c r="N80" s="21" t="n">
        <f aca="false">IFERROR(M80/L80,"")</f>
        <v>0.496055555555555</v>
      </c>
      <c r="O80" s="18" t="n">
        <f aca="false">IFERROR(L80*(1-Premissas!$B$8)-Premissas!$B$9-H80-Premissas!$B$7,"")</f>
        <v>-0.631333333333333</v>
      </c>
      <c r="P80" s="18" t="n">
        <f aca="false">IFERROR(L80*(1-Premissas!$B$10)-Premissas!$B$11-H80-Premissas!$B$7,"")</f>
        <v>0.586666666666667</v>
      </c>
      <c r="Q80" s="18" t="n">
        <f aca="false">IFERROR(M80*F80,"")</f>
        <v>153.5788</v>
      </c>
      <c r="R80" s="22" t="n">
        <f aca="false">IFERROR(IF(M80&gt;0,ROUNDUP(Premissas!$B$12/M80,0),"sem lucro"),"")</f>
        <v>157</v>
      </c>
      <c r="S80" s="15" t="s">
        <v>82</v>
      </c>
      <c r="T80" s="23" t="s">
        <v>76</v>
      </c>
      <c r="U80" s="15" t="s">
        <v>304</v>
      </c>
      <c r="V80" s="18" t="n">
        <f aca="false">IF(AND(T80="S",ISNUMBER(L80),ISNUMBER(F80)),L80*F80*X80,0)</f>
        <v>0</v>
      </c>
      <c r="W80" s="18" t="n">
        <f aca="false">IF(AND(T80="S",ISNUMBER(Q80)),Q80*X80,0)</f>
        <v>0</v>
      </c>
      <c r="X80" s="23" t="n">
        <v>1</v>
      </c>
      <c r="Y80" s="18" t="n">
        <f aca="false">IF(AND(T80="S",ISNUMBER(G80)),G80*X80,0)</f>
        <v>0</v>
      </c>
    </row>
    <row r="81" customFormat="false" ht="15" hidden="false" customHeight="false" outlineLevel="0" collapsed="false">
      <c r="A81" s="14" t="s">
        <v>305</v>
      </c>
      <c r="B81" s="15" t="s">
        <v>306</v>
      </c>
      <c r="C81" s="14" t="s">
        <v>291</v>
      </c>
      <c r="D81" s="14" t="s">
        <v>63</v>
      </c>
      <c r="E81" s="14" t="n">
        <v>7</v>
      </c>
      <c r="F81" s="16" t="n">
        <v>24</v>
      </c>
      <c r="G81" s="17" t="n">
        <v>142.9</v>
      </c>
      <c r="H81" s="18" t="n">
        <f aca="false">IF(ISNUMBER(G81),IFERROR(G81/F81,""),"")</f>
        <v>5.95416666666667</v>
      </c>
      <c r="I81" s="17" t="n">
        <v>10</v>
      </c>
      <c r="J81" s="17" t="n">
        <v>12.9</v>
      </c>
      <c r="K81" s="19" t="s">
        <v>64</v>
      </c>
      <c r="L81" s="20" t="n">
        <v>11.9</v>
      </c>
      <c r="M81" s="18" t="n">
        <f aca="false">IFERROR(L81*(1-Premissas!$B$5)*(1-Premissas!$B$6)-H81-Premissas!$B$7,"")</f>
        <v>4.23778333333333</v>
      </c>
      <c r="N81" s="21" t="n">
        <f aca="false">IFERROR(M81/L81,"")</f>
        <v>0.356116246498599</v>
      </c>
      <c r="O81" s="18" t="n">
        <f aca="false">IFERROR(L81*(1-Premissas!$B$8)-Premissas!$B$9-H81-Premissas!$B$7,"")</f>
        <v>-2.73216666666667</v>
      </c>
      <c r="P81" s="18" t="n">
        <f aca="false">IFERROR(L81*(1-Premissas!$B$10)-Premissas!$B$11-H81-Premissas!$B$7,"")</f>
        <v>-1.43416666666667</v>
      </c>
      <c r="Q81" s="18" t="n">
        <f aca="false">IFERROR(M81*F81,"")</f>
        <v>101.7068</v>
      </c>
      <c r="R81" s="22" t="n">
        <f aca="false">IFERROR(IF(M81&gt;0,ROUNDUP(Premissas!$B$12/M81,0),"sem lucro"),"")</f>
        <v>236</v>
      </c>
      <c r="S81" s="15" t="s">
        <v>307</v>
      </c>
      <c r="T81" s="23" t="s">
        <v>76</v>
      </c>
      <c r="U81" s="15" t="s">
        <v>267</v>
      </c>
      <c r="V81" s="18" t="n">
        <f aca="false">IF(AND(T81="S",ISNUMBER(L81),ISNUMBER(F81)),L81*F81*X81,0)</f>
        <v>0</v>
      </c>
      <c r="W81" s="18" t="n">
        <f aca="false">IF(AND(T81="S",ISNUMBER(Q81)),Q81*X81,0)</f>
        <v>0</v>
      </c>
      <c r="X81" s="23" t="n">
        <v>1</v>
      </c>
      <c r="Y81" s="18" t="n">
        <f aca="false">IF(AND(T81="S",ISNUMBER(G81)),G81*X81,0)</f>
        <v>0</v>
      </c>
    </row>
    <row r="82" customFormat="false" ht="15" hidden="false" customHeight="false" outlineLevel="0" collapsed="false">
      <c r="A82" s="14" t="s">
        <v>308</v>
      </c>
      <c r="B82" s="15" t="s">
        <v>309</v>
      </c>
      <c r="C82" s="14" t="s">
        <v>291</v>
      </c>
      <c r="D82" s="14" t="s">
        <v>117</v>
      </c>
      <c r="E82" s="14" t="n">
        <v>7</v>
      </c>
      <c r="F82" s="16" t="n">
        <v>24</v>
      </c>
      <c r="G82" s="17" t="n">
        <v>150.2</v>
      </c>
      <c r="H82" s="18" t="n">
        <f aca="false">IF(ISNUMBER(G82),IFERROR(G82/F82,""),"")</f>
        <v>6.25833333333333</v>
      </c>
      <c r="I82" s="17" t="n">
        <v>10</v>
      </c>
      <c r="J82" s="17" t="n">
        <v>12.9</v>
      </c>
      <c r="K82" s="19" t="s">
        <v>64</v>
      </c>
      <c r="L82" s="20" t="n">
        <v>11.9</v>
      </c>
      <c r="M82" s="18" t="n">
        <f aca="false">IFERROR(L82*(1-Premissas!$B$5)*(1-Premissas!$B$6)-H82-Premissas!$B$7,"")</f>
        <v>3.93361666666667</v>
      </c>
      <c r="N82" s="21" t="n">
        <f aca="false">IFERROR(M82/L82,"")</f>
        <v>0.330556022408964</v>
      </c>
      <c r="O82" s="18" t="n">
        <f aca="false">IFERROR(L82*(1-Premissas!$B$8)-Premissas!$B$9-H82-Premissas!$B$7,"")</f>
        <v>-3.03633333333333</v>
      </c>
      <c r="P82" s="18" t="n">
        <f aca="false">IFERROR(L82*(1-Premissas!$B$10)-Premissas!$B$11-H82-Premissas!$B$7,"")</f>
        <v>-1.73833333333333</v>
      </c>
      <c r="Q82" s="18" t="n">
        <f aca="false">IFERROR(M82*F82,"")</f>
        <v>94.4068</v>
      </c>
      <c r="R82" s="22" t="n">
        <f aca="false">IFERROR(IF(M82&gt;0,ROUNDUP(Premissas!$B$12/M82,0),"sem lucro"),"")</f>
        <v>255</v>
      </c>
      <c r="S82" s="15" t="s">
        <v>252</v>
      </c>
      <c r="T82" s="23" t="s">
        <v>76</v>
      </c>
      <c r="U82" s="15"/>
      <c r="V82" s="18" t="n">
        <f aca="false">IF(AND(T82="S",ISNUMBER(L82),ISNUMBER(F82)),L82*F82*X82,0)</f>
        <v>0</v>
      </c>
      <c r="W82" s="18" t="n">
        <f aca="false">IF(AND(T82="S",ISNUMBER(Q82)),Q82*X82,0)</f>
        <v>0</v>
      </c>
      <c r="X82" s="23" t="n">
        <v>1</v>
      </c>
      <c r="Y82" s="18" t="n">
        <f aca="false">IF(AND(T82="S",ISNUMBER(G82)),G82*X82,0)</f>
        <v>0</v>
      </c>
    </row>
    <row r="83" customFormat="false" ht="15" hidden="false" customHeight="false" outlineLevel="0" collapsed="false">
      <c r="A83" s="14" t="s">
        <v>310</v>
      </c>
      <c r="B83" s="15" t="s">
        <v>311</v>
      </c>
      <c r="C83" s="14" t="s">
        <v>291</v>
      </c>
      <c r="D83" s="14" t="s">
        <v>117</v>
      </c>
      <c r="E83" s="14" t="n">
        <v>7</v>
      </c>
      <c r="F83" s="16" t="n">
        <v>24</v>
      </c>
      <c r="G83" s="17" t="n">
        <v>142.9</v>
      </c>
      <c r="H83" s="18" t="n">
        <f aca="false">IF(ISNUMBER(G83),IFERROR(G83/F83,""),"")</f>
        <v>5.95416666666667</v>
      </c>
      <c r="I83" s="17" t="n">
        <v>10</v>
      </c>
      <c r="J83" s="17" t="n">
        <v>12.9</v>
      </c>
      <c r="K83" s="19" t="s">
        <v>64</v>
      </c>
      <c r="L83" s="20" t="n">
        <v>11.9</v>
      </c>
      <c r="M83" s="18" t="n">
        <f aca="false">IFERROR(L83*(1-Premissas!$B$5)*(1-Premissas!$B$6)-H83-Premissas!$B$7,"")</f>
        <v>4.23778333333333</v>
      </c>
      <c r="N83" s="21" t="n">
        <f aca="false">IFERROR(M83/L83,"")</f>
        <v>0.356116246498599</v>
      </c>
      <c r="O83" s="18" t="n">
        <f aca="false">IFERROR(L83*(1-Premissas!$B$8)-Premissas!$B$9-H83-Premissas!$B$7,"")</f>
        <v>-2.73216666666667</v>
      </c>
      <c r="P83" s="18" t="n">
        <f aca="false">IFERROR(L83*(1-Premissas!$B$10)-Premissas!$B$11-H83-Premissas!$B$7,"")</f>
        <v>-1.43416666666667</v>
      </c>
      <c r="Q83" s="18" t="n">
        <f aca="false">IFERROR(M83*F83,"")</f>
        <v>101.7068</v>
      </c>
      <c r="R83" s="22" t="n">
        <f aca="false">IFERROR(IF(M83&gt;0,ROUNDUP(Premissas!$B$12/M83,0),"sem lucro"),"")</f>
        <v>236</v>
      </c>
      <c r="S83" s="15" t="s">
        <v>252</v>
      </c>
      <c r="T83" s="23" t="s">
        <v>76</v>
      </c>
      <c r="U83" s="15"/>
      <c r="V83" s="18" t="n">
        <f aca="false">IF(AND(T83="S",ISNUMBER(L83),ISNUMBER(F83)),L83*F83*X83,0)</f>
        <v>0</v>
      </c>
      <c r="W83" s="18" t="n">
        <f aca="false">IF(AND(T83="S",ISNUMBER(Q83)),Q83*X83,0)</f>
        <v>0</v>
      </c>
      <c r="X83" s="23" t="n">
        <v>1</v>
      </c>
      <c r="Y83" s="18" t="n">
        <f aca="false">IF(AND(T83="S",ISNUMBER(G83)),G83*X83,0)</f>
        <v>0</v>
      </c>
    </row>
    <row r="84" customFormat="false" ht="15" hidden="false" customHeight="false" outlineLevel="0" collapsed="false">
      <c r="A84" s="14" t="s">
        <v>312</v>
      </c>
      <c r="B84" s="15" t="s">
        <v>313</v>
      </c>
      <c r="C84" s="14" t="s">
        <v>291</v>
      </c>
      <c r="D84" s="14" t="s">
        <v>117</v>
      </c>
      <c r="E84" s="14" t="n">
        <v>7</v>
      </c>
      <c r="F84" s="16" t="n">
        <v>24</v>
      </c>
      <c r="G84" s="17" t="n">
        <v>142.9</v>
      </c>
      <c r="H84" s="18" t="n">
        <f aca="false">IF(ISNUMBER(G84),IFERROR(G84/F84,""),"")</f>
        <v>5.95416666666667</v>
      </c>
      <c r="I84" s="17" t="n">
        <v>10</v>
      </c>
      <c r="J84" s="17" t="n">
        <v>12.9</v>
      </c>
      <c r="K84" s="19" t="s">
        <v>64</v>
      </c>
      <c r="L84" s="20" t="n">
        <v>11.9</v>
      </c>
      <c r="M84" s="18" t="n">
        <f aca="false">IFERROR(L84*(1-Premissas!$B$5)*(1-Premissas!$B$6)-H84-Premissas!$B$7,"")</f>
        <v>4.23778333333333</v>
      </c>
      <c r="N84" s="21" t="n">
        <f aca="false">IFERROR(M84/L84,"")</f>
        <v>0.356116246498599</v>
      </c>
      <c r="O84" s="18" t="n">
        <f aca="false">IFERROR(L84*(1-Premissas!$B$8)-Premissas!$B$9-H84-Premissas!$B$7,"")</f>
        <v>-2.73216666666667</v>
      </c>
      <c r="P84" s="18" t="n">
        <f aca="false">IFERROR(L84*(1-Premissas!$B$10)-Premissas!$B$11-H84-Premissas!$B$7,"")</f>
        <v>-1.43416666666667</v>
      </c>
      <c r="Q84" s="18" t="n">
        <f aca="false">IFERROR(M84*F84,"")</f>
        <v>101.7068</v>
      </c>
      <c r="R84" s="22" t="n">
        <f aca="false">IFERROR(IF(M84&gt;0,ROUNDUP(Premissas!$B$12/M84,0),"sem lucro"),"")</f>
        <v>236</v>
      </c>
      <c r="S84" s="15" t="s">
        <v>252</v>
      </c>
      <c r="T84" s="23" t="s">
        <v>76</v>
      </c>
      <c r="U84" s="15"/>
      <c r="V84" s="18" t="n">
        <f aca="false">IF(AND(T84="S",ISNUMBER(L84),ISNUMBER(F84)),L84*F84*X84,0)</f>
        <v>0</v>
      </c>
      <c r="W84" s="18" t="n">
        <f aca="false">IF(AND(T84="S",ISNUMBER(Q84)),Q84*X84,0)</f>
        <v>0</v>
      </c>
      <c r="X84" s="23" t="n">
        <v>1</v>
      </c>
      <c r="Y84" s="18" t="n">
        <f aca="false">IF(AND(T84="S",ISNUMBER(G84)),G84*X84,0)</f>
        <v>0</v>
      </c>
    </row>
    <row r="85" customFormat="false" ht="15" hidden="false" customHeight="false" outlineLevel="0" collapsed="false">
      <c r="A85" s="14" t="s">
        <v>314</v>
      </c>
      <c r="B85" s="15" t="s">
        <v>315</v>
      </c>
      <c r="C85" s="14" t="s">
        <v>316</v>
      </c>
      <c r="D85" s="14" t="s">
        <v>117</v>
      </c>
      <c r="E85" s="14" t="n">
        <v>7</v>
      </c>
      <c r="F85" s="16" t="n">
        <v>1</v>
      </c>
      <c r="G85" s="17" t="n">
        <v>6</v>
      </c>
      <c r="H85" s="18" t="n">
        <f aca="false">IF(ISNUMBER(G85),IFERROR(G85/F85,""),"")</f>
        <v>6</v>
      </c>
      <c r="I85" s="17" t="n">
        <v>12.9</v>
      </c>
      <c r="J85" s="17" t="n">
        <v>12.9</v>
      </c>
      <c r="K85" s="19" t="s">
        <v>64</v>
      </c>
      <c r="L85" s="20" t="n">
        <v>12.9</v>
      </c>
      <c r="M85" s="18" t="n">
        <f aca="false">IFERROR(L85*(1-Premissas!$B$5)*(1-Premissas!$B$6)-H85-Premissas!$B$7,"")</f>
        <v>5.13245</v>
      </c>
      <c r="N85" s="21" t="n">
        <f aca="false">IFERROR(M85/L85,"")</f>
        <v>0.397864341085271</v>
      </c>
      <c r="O85" s="18" t="n">
        <f aca="false">IFERROR(L85*(1-Premissas!$B$8)-Premissas!$B$9-H85-Premissas!$B$7,"")</f>
        <v>-1.898</v>
      </c>
      <c r="P85" s="18" t="n">
        <f aca="false">IFERROR(L85*(1-Premissas!$B$10)-Premissas!$B$11-H85-Premissas!$B$7,"")</f>
        <v>-0.68</v>
      </c>
      <c r="Q85" s="18" t="n">
        <f aca="false">IFERROR(M85*F85,"")</f>
        <v>5.13245</v>
      </c>
      <c r="R85" s="22" t="n">
        <f aca="false">IFERROR(IF(M85&gt;0,ROUNDUP(Premissas!$B$12/M85,0),"sem lucro"),"")</f>
        <v>195</v>
      </c>
      <c r="S85" s="15" t="s">
        <v>82</v>
      </c>
      <c r="T85" s="23" t="s">
        <v>76</v>
      </c>
      <c r="U85" s="15"/>
      <c r="V85" s="18" t="n">
        <f aca="false">IF(AND(T85="S",ISNUMBER(L85),ISNUMBER(F85)),L85*F85*X85,0)</f>
        <v>0</v>
      </c>
      <c r="W85" s="18" t="n">
        <f aca="false">IF(AND(T85="S",ISNUMBER(Q85)),Q85*X85,0)</f>
        <v>0</v>
      </c>
      <c r="X85" s="23" t="n">
        <v>12</v>
      </c>
      <c r="Y85" s="18" t="n">
        <f aca="false">IF(AND(T85="S",ISNUMBER(G85)),G85*X85,0)</f>
        <v>0</v>
      </c>
    </row>
    <row r="86" customFormat="false" ht="26.85" hidden="false" customHeight="false" outlineLevel="0" collapsed="false">
      <c r="A86" s="14" t="s">
        <v>317</v>
      </c>
      <c r="B86" s="15" t="s">
        <v>318</v>
      </c>
      <c r="C86" s="14" t="s">
        <v>319</v>
      </c>
      <c r="D86" s="14" t="s">
        <v>92</v>
      </c>
      <c r="E86" s="14" t="n">
        <v>7</v>
      </c>
      <c r="F86" s="16" t="n">
        <v>1</v>
      </c>
      <c r="G86" s="17" t="n">
        <v>5.2</v>
      </c>
      <c r="H86" s="18" t="n">
        <f aca="false">IF(ISNUMBER(G86),IFERROR(G86/F86,""),"")</f>
        <v>5.2</v>
      </c>
      <c r="I86" s="17" t="n">
        <v>7.99</v>
      </c>
      <c r="J86" s="17" t="n">
        <v>10</v>
      </c>
      <c r="K86" s="14" t="s">
        <v>93</v>
      </c>
      <c r="L86" s="20" t="n">
        <v>9.9</v>
      </c>
      <c r="M86" s="18" t="n">
        <f aca="false">IFERROR(L86*(1-Premissas!$B$5)*(1-Premissas!$B$6)-H86-Premissas!$B$7,"")</f>
        <v>3.11095</v>
      </c>
      <c r="N86" s="21" t="n">
        <f aca="false">IFERROR(M86/L86,"")</f>
        <v>0.314237373737374</v>
      </c>
      <c r="O86" s="18" t="n">
        <f aca="false">IFERROR(L86*(1-Premissas!$B$8)-Premissas!$B$9-H86-Premissas!$B$7,"")</f>
        <v>-3.738</v>
      </c>
      <c r="P86" s="18" t="n">
        <f aca="false">IFERROR(L86*(1-Premissas!$B$10)-Premissas!$B$11-H86-Premissas!$B$7,"")</f>
        <v>-2.28</v>
      </c>
      <c r="Q86" s="18" t="n">
        <f aca="false">IFERROR(M86*F86,"")</f>
        <v>3.11095</v>
      </c>
      <c r="R86" s="22" t="n">
        <f aca="false">IFERROR(IF(M86&gt;0,ROUNDUP(Premissas!$B$12/M86,0),"sem lucro"),"")</f>
        <v>322</v>
      </c>
      <c r="S86" s="15" t="s">
        <v>320</v>
      </c>
      <c r="T86" s="23" t="s">
        <v>76</v>
      </c>
      <c r="U86" s="15" t="s">
        <v>321</v>
      </c>
      <c r="V86" s="18" t="n">
        <f aca="false">IF(AND(T86="S",ISNUMBER(L86),ISNUMBER(F86)),L86*F86*X86,0)</f>
        <v>0</v>
      </c>
      <c r="W86" s="18" t="n">
        <f aca="false">IF(AND(T86="S",ISNUMBER(Q86)),Q86*X86,0)</f>
        <v>0</v>
      </c>
      <c r="X86" s="23" t="n">
        <v>12</v>
      </c>
      <c r="Y86" s="18" t="n">
        <f aca="false">IF(AND(T86="S",ISNUMBER(G86)),G86*X86,0)</f>
        <v>0</v>
      </c>
    </row>
    <row r="87" customFormat="false" ht="15" hidden="false" customHeight="false" outlineLevel="0" collapsed="false">
      <c r="A87" s="14" t="s">
        <v>322</v>
      </c>
      <c r="B87" s="15" t="s">
        <v>323</v>
      </c>
      <c r="C87" s="14" t="s">
        <v>319</v>
      </c>
      <c r="D87" s="14" t="s">
        <v>63</v>
      </c>
      <c r="E87" s="14" t="n">
        <v>7</v>
      </c>
      <c r="F87" s="16" t="n">
        <v>24</v>
      </c>
      <c r="G87" s="17" t="n">
        <v>164.5</v>
      </c>
      <c r="H87" s="18" t="n">
        <f aca="false">IF(ISNUMBER(G87),IFERROR(G87/F87,""),"")</f>
        <v>6.85416666666667</v>
      </c>
      <c r="I87" s="17" t="n">
        <v>12.9</v>
      </c>
      <c r="J87" s="17" t="n">
        <v>15</v>
      </c>
      <c r="K87" s="19" t="s">
        <v>64</v>
      </c>
      <c r="L87" s="20" t="n">
        <v>12.9</v>
      </c>
      <c r="M87" s="18" t="n">
        <f aca="false">IFERROR(L87*(1-Premissas!$B$5)*(1-Premissas!$B$6)-H87-Premissas!$B$7,"")</f>
        <v>4.27828333333333</v>
      </c>
      <c r="N87" s="21" t="n">
        <f aca="false">IFERROR(M87/L87,"")</f>
        <v>0.331649870801034</v>
      </c>
      <c r="O87" s="18" t="n">
        <f aca="false">IFERROR(L87*(1-Premissas!$B$8)-Premissas!$B$9-H87-Premissas!$B$7,"")</f>
        <v>-2.75216666666667</v>
      </c>
      <c r="P87" s="18" t="n">
        <f aca="false">IFERROR(L87*(1-Premissas!$B$10)-Premissas!$B$11-H87-Premissas!$B$7,"")</f>
        <v>-1.53416666666667</v>
      </c>
      <c r="Q87" s="18" t="n">
        <f aca="false">IFERROR(M87*F87,"")</f>
        <v>102.6788</v>
      </c>
      <c r="R87" s="22" t="n">
        <f aca="false">IFERROR(IF(M87&gt;0,ROUNDUP(Premissas!$B$12/M87,0),"sem lucro"),"")</f>
        <v>234</v>
      </c>
      <c r="S87" s="15" t="s">
        <v>324</v>
      </c>
      <c r="T87" s="23" t="s">
        <v>76</v>
      </c>
      <c r="U87" s="15"/>
      <c r="V87" s="18" t="n">
        <f aca="false">IF(AND(T87="S",ISNUMBER(L87),ISNUMBER(F87)),L87*F87*X87,0)</f>
        <v>0</v>
      </c>
      <c r="W87" s="18" t="n">
        <f aca="false">IF(AND(T87="S",ISNUMBER(Q87)),Q87*X87,0)</f>
        <v>0</v>
      </c>
      <c r="X87" s="23" t="n">
        <v>1</v>
      </c>
      <c r="Y87" s="18" t="n">
        <f aca="false">IF(AND(T87="S",ISNUMBER(G87)),G87*X87,0)</f>
        <v>0</v>
      </c>
    </row>
    <row r="88" customFormat="false" ht="15" hidden="false" customHeight="false" outlineLevel="0" collapsed="false">
      <c r="A88" s="14" t="s">
        <v>325</v>
      </c>
      <c r="B88" s="15" t="s">
        <v>326</v>
      </c>
      <c r="C88" s="14" t="s">
        <v>145</v>
      </c>
      <c r="D88" s="14" t="s">
        <v>125</v>
      </c>
      <c r="E88" s="14" t="n">
        <v>7</v>
      </c>
      <c r="F88" s="16" t="n">
        <v>24</v>
      </c>
      <c r="G88" s="17" t="n">
        <v>132.2</v>
      </c>
      <c r="H88" s="18" t="n">
        <f aca="false">IF(ISNUMBER(G88),IFERROR(G88/F88,""),"")</f>
        <v>5.50833333333333</v>
      </c>
      <c r="I88" s="17" t="n">
        <v>12.9</v>
      </c>
      <c r="J88" s="17" t="n">
        <v>12.9</v>
      </c>
      <c r="K88" s="19" t="s">
        <v>64</v>
      </c>
      <c r="L88" s="20" t="n">
        <v>12.9</v>
      </c>
      <c r="M88" s="18" t="n">
        <f aca="false">IFERROR(L88*(1-Premissas!$B$5)*(1-Premissas!$B$6)-H88-Premissas!$B$7,"")</f>
        <v>5.62411666666667</v>
      </c>
      <c r="N88" s="21" t="n">
        <f aca="false">IFERROR(M88/L88,"")</f>
        <v>0.435978036175711</v>
      </c>
      <c r="O88" s="18" t="n">
        <f aca="false">IFERROR(L88*(1-Premissas!$B$8)-Premissas!$B$9-H88-Premissas!$B$7,"")</f>
        <v>-1.40633333333333</v>
      </c>
      <c r="P88" s="18" t="n">
        <f aca="false">IFERROR(L88*(1-Premissas!$B$10)-Premissas!$B$11-H88-Premissas!$B$7,"")</f>
        <v>-0.188333333333333</v>
      </c>
      <c r="Q88" s="18" t="n">
        <f aca="false">IFERROR(M88*F88,"")</f>
        <v>134.9788</v>
      </c>
      <c r="R88" s="22" t="n">
        <f aca="false">IFERROR(IF(M88&gt;0,ROUNDUP(Premissas!$B$12/M88,0),"sem lucro"),"")</f>
        <v>178</v>
      </c>
      <c r="S88" s="15" t="s">
        <v>82</v>
      </c>
      <c r="T88" s="23" t="s">
        <v>76</v>
      </c>
      <c r="U88" s="15"/>
      <c r="V88" s="18" t="n">
        <f aca="false">IF(AND(T88="S",ISNUMBER(L88),ISNUMBER(F88)),L88*F88*X88,0)</f>
        <v>0</v>
      </c>
      <c r="W88" s="18" t="n">
        <f aca="false">IF(AND(T88="S",ISNUMBER(Q88)),Q88*X88,0)</f>
        <v>0</v>
      </c>
      <c r="X88" s="23" t="n">
        <v>1</v>
      </c>
      <c r="Y88" s="18" t="n">
        <f aca="false">IF(AND(T88="S",ISNUMBER(G88)),G88*X88,0)</f>
        <v>0</v>
      </c>
    </row>
    <row r="89" customFormat="false" ht="15" hidden="false" customHeight="false" outlineLevel="0" collapsed="false">
      <c r="A89" s="14" t="s">
        <v>327</v>
      </c>
      <c r="B89" s="15" t="s">
        <v>328</v>
      </c>
      <c r="C89" s="14" t="s">
        <v>207</v>
      </c>
      <c r="D89" s="14" t="s">
        <v>125</v>
      </c>
      <c r="E89" s="14" t="n">
        <v>7</v>
      </c>
      <c r="F89" s="16" t="n">
        <v>24</v>
      </c>
      <c r="G89" s="17" t="n">
        <v>158.8</v>
      </c>
      <c r="H89" s="18" t="n">
        <f aca="false">IF(ISNUMBER(G89),IFERROR(G89/F89,""),"")</f>
        <v>6.61666666666667</v>
      </c>
      <c r="I89" s="17" t="n">
        <v>12.9</v>
      </c>
      <c r="J89" s="17" t="n">
        <v>12.9</v>
      </c>
      <c r="K89" s="19" t="s">
        <v>64</v>
      </c>
      <c r="L89" s="20" t="n">
        <v>12.9</v>
      </c>
      <c r="M89" s="18" t="n">
        <f aca="false">IFERROR(L89*(1-Premissas!$B$5)*(1-Premissas!$B$6)-H89-Premissas!$B$7,"")</f>
        <v>4.51578333333333</v>
      </c>
      <c r="N89" s="21" t="n">
        <f aca="false">IFERROR(M89/L89,"")</f>
        <v>0.350060723514212</v>
      </c>
      <c r="O89" s="18" t="n">
        <f aca="false">IFERROR(L89*(1-Premissas!$B$8)-Premissas!$B$9-H89-Premissas!$B$7,"")</f>
        <v>-2.51466666666667</v>
      </c>
      <c r="P89" s="18" t="n">
        <f aca="false">IFERROR(L89*(1-Premissas!$B$10)-Premissas!$B$11-H89-Premissas!$B$7,"")</f>
        <v>-1.29666666666667</v>
      </c>
      <c r="Q89" s="18" t="n">
        <f aca="false">IFERROR(M89*F89,"")</f>
        <v>108.3788</v>
      </c>
      <c r="R89" s="22" t="n">
        <f aca="false">IFERROR(IF(M89&gt;0,ROUNDUP(Premissas!$B$12/M89,0),"sem lucro"),"")</f>
        <v>222</v>
      </c>
      <c r="S89" s="15" t="s">
        <v>82</v>
      </c>
      <c r="T89" s="23" t="s">
        <v>76</v>
      </c>
      <c r="U89" s="15"/>
      <c r="V89" s="18" t="n">
        <f aca="false">IF(AND(T89="S",ISNUMBER(L89),ISNUMBER(F89)),L89*F89*X89,0)</f>
        <v>0</v>
      </c>
      <c r="W89" s="18" t="n">
        <f aca="false">IF(AND(T89="S",ISNUMBER(Q89)),Q89*X89,0)</f>
        <v>0</v>
      </c>
      <c r="X89" s="23" t="n">
        <v>1</v>
      </c>
      <c r="Y89" s="18" t="n">
        <f aca="false">IF(AND(T89="S",ISNUMBER(G89)),G89*X89,0)</f>
        <v>0</v>
      </c>
    </row>
    <row r="90" customFormat="false" ht="26.85" hidden="false" customHeight="false" outlineLevel="0" collapsed="false">
      <c r="A90" s="14" t="s">
        <v>329</v>
      </c>
      <c r="B90" s="15" t="s">
        <v>330</v>
      </c>
      <c r="C90" s="14" t="s">
        <v>207</v>
      </c>
      <c r="D90" s="14" t="s">
        <v>63</v>
      </c>
      <c r="E90" s="14" t="n">
        <v>7</v>
      </c>
      <c r="F90" s="16" t="n">
        <v>48</v>
      </c>
      <c r="G90" s="17" t="n">
        <v>116.7</v>
      </c>
      <c r="H90" s="18" t="n">
        <f aca="false">IF(ISNUMBER(G90),IFERROR(G90/F90,""),"")</f>
        <v>2.43125</v>
      </c>
      <c r="I90" s="17" t="n">
        <v>13.8</v>
      </c>
      <c r="J90" s="17" t="n">
        <v>15.9</v>
      </c>
      <c r="K90" s="14" t="s">
        <v>93</v>
      </c>
      <c r="L90" s="20" t="n">
        <v>12.9</v>
      </c>
      <c r="M90" s="18" t="n">
        <f aca="false">IFERROR(L90*(1-Premissas!$B$5)*(1-Premissas!$B$6)-H90-Premissas!$B$7,"")</f>
        <v>8.7012</v>
      </c>
      <c r="N90" s="21" t="n">
        <f aca="false">IFERROR(M90/L90,"")</f>
        <v>0.674511627906977</v>
      </c>
      <c r="O90" s="18" t="n">
        <f aca="false">IFERROR(L90*(1-Premissas!$B$8)-Premissas!$B$9-H90-Premissas!$B$7,"")</f>
        <v>1.67075</v>
      </c>
      <c r="P90" s="18" t="n">
        <f aca="false">IFERROR(L90*(1-Premissas!$B$10)-Premissas!$B$11-H90-Premissas!$B$7,"")</f>
        <v>2.88875</v>
      </c>
      <c r="Q90" s="18" t="n">
        <f aca="false">IFERROR(M90*F90,"")</f>
        <v>417.6576</v>
      </c>
      <c r="R90" s="22" t="n">
        <f aca="false">IFERROR(IF(M90&gt;0,ROUNDUP(Premissas!$B$12/M90,0),"sem lucro"),"")</f>
        <v>115</v>
      </c>
      <c r="S90" s="15" t="s">
        <v>65</v>
      </c>
      <c r="T90" s="23" t="s">
        <v>66</v>
      </c>
      <c r="U90" s="15" t="s">
        <v>331</v>
      </c>
      <c r="V90" s="18" t="n">
        <f aca="false">IF(AND(T90="S",ISNUMBER(L90),ISNUMBER(F90)),L90*F90*X90,0)</f>
        <v>619.2</v>
      </c>
      <c r="W90" s="18" t="n">
        <f aca="false">IF(AND(T90="S",ISNUMBER(Q90)),Q90*X90,0)</f>
        <v>417.6576</v>
      </c>
      <c r="X90" s="23" t="n">
        <v>1</v>
      </c>
      <c r="Y90" s="18" t="n">
        <f aca="false">IF(AND(T90="S",ISNUMBER(G90)),G90*X90,0)</f>
        <v>116.7</v>
      </c>
    </row>
    <row r="91" customFormat="false" ht="15" hidden="false" customHeight="false" outlineLevel="0" collapsed="false">
      <c r="A91" s="14" t="s">
        <v>332</v>
      </c>
      <c r="B91" s="15" t="s">
        <v>333</v>
      </c>
      <c r="C91" s="14" t="s">
        <v>207</v>
      </c>
      <c r="D91" s="14" t="s">
        <v>117</v>
      </c>
      <c r="E91" s="14" t="n">
        <v>7</v>
      </c>
      <c r="F91" s="16" t="n">
        <v>24</v>
      </c>
      <c r="G91" s="17" t="n">
        <v>129.6</v>
      </c>
      <c r="H91" s="18" t="n">
        <f aca="false">IF(ISNUMBER(G91),IFERROR(G91/F91,""),"")</f>
        <v>5.4</v>
      </c>
      <c r="I91" s="17" t="n">
        <v>12.9</v>
      </c>
      <c r="J91" s="17" t="n">
        <v>12.9</v>
      </c>
      <c r="K91" s="19" t="s">
        <v>64</v>
      </c>
      <c r="L91" s="20" t="n">
        <v>12.9</v>
      </c>
      <c r="M91" s="18" t="n">
        <f aca="false">IFERROR(L91*(1-Premissas!$B$5)*(1-Premissas!$B$6)-H91-Premissas!$B$7,"")</f>
        <v>5.73245</v>
      </c>
      <c r="N91" s="21" t="n">
        <f aca="false">IFERROR(M91/L91,"")</f>
        <v>0.444375968992248</v>
      </c>
      <c r="O91" s="18" t="n">
        <f aca="false">IFERROR(L91*(1-Premissas!$B$8)-Premissas!$B$9-H91-Premissas!$B$7,"")</f>
        <v>-1.298</v>
      </c>
      <c r="P91" s="18" t="n">
        <f aca="false">IFERROR(L91*(1-Premissas!$B$10)-Premissas!$B$11-H91-Premissas!$B$7,"")</f>
        <v>-0.0799999999999992</v>
      </c>
      <c r="Q91" s="18" t="n">
        <f aca="false">IFERROR(M91*F91,"")</f>
        <v>137.5788</v>
      </c>
      <c r="R91" s="22" t="n">
        <f aca="false">IFERROR(IF(M91&gt;0,ROUNDUP(Premissas!$B$12/M91,0),"sem lucro"),"")</f>
        <v>175</v>
      </c>
      <c r="S91" s="15" t="s">
        <v>252</v>
      </c>
      <c r="T91" s="23" t="s">
        <v>76</v>
      </c>
      <c r="U91" s="15"/>
      <c r="V91" s="18" t="n">
        <f aca="false">IF(AND(T91="S",ISNUMBER(L91),ISNUMBER(F91)),L91*F91*X91,0)</f>
        <v>0</v>
      </c>
      <c r="W91" s="18" t="n">
        <f aca="false">IF(AND(T91="S",ISNUMBER(Q91)),Q91*X91,0)</f>
        <v>0</v>
      </c>
      <c r="X91" s="23" t="n">
        <v>1</v>
      </c>
      <c r="Y91" s="18" t="n">
        <f aca="false">IF(AND(T91="S",ISNUMBER(G91)),G91*X91,0)</f>
        <v>0</v>
      </c>
    </row>
    <row r="92" customFormat="false" ht="15" hidden="false" customHeight="false" outlineLevel="0" collapsed="false">
      <c r="A92" s="14" t="s">
        <v>334</v>
      </c>
      <c r="B92" s="15" t="s">
        <v>335</v>
      </c>
      <c r="C92" s="14" t="s">
        <v>207</v>
      </c>
      <c r="D92" s="14" t="s">
        <v>117</v>
      </c>
      <c r="E92" s="14" t="n">
        <v>7</v>
      </c>
      <c r="F92" s="16" t="n">
        <v>12</v>
      </c>
      <c r="G92" s="17" t="n">
        <v>16.7</v>
      </c>
      <c r="H92" s="18" t="n">
        <f aca="false">IF(ISNUMBER(G92),IFERROR(G92/F92,""),"")</f>
        <v>1.39166666666667</v>
      </c>
      <c r="I92" s="17" t="n">
        <v>3.96</v>
      </c>
      <c r="J92" s="17" t="n">
        <v>7.69</v>
      </c>
      <c r="K92" s="14" t="s">
        <v>93</v>
      </c>
      <c r="L92" s="20" t="n">
        <v>5.9</v>
      </c>
      <c r="M92" s="18" t="n">
        <f aca="false">IFERROR(L92*(1-Premissas!$B$5)*(1-Premissas!$B$6)-H92-Premissas!$B$7,"")</f>
        <v>3.15728333333333</v>
      </c>
      <c r="N92" s="21" t="n">
        <f aca="false">IFERROR(M92/L92,"")</f>
        <v>0.535132768361582</v>
      </c>
      <c r="O92" s="18" t="n">
        <f aca="false">IFERROR(L92*(1-Premissas!$B$8)-Premissas!$B$9-H92-Premissas!$B$7,"")</f>
        <v>-3.44966666666667</v>
      </c>
      <c r="P92" s="18" t="n">
        <f aca="false">IFERROR(L92*(1-Premissas!$B$10)-Premissas!$B$11-H92-Premissas!$B$7,"")</f>
        <v>-1.67166666666667</v>
      </c>
      <c r="Q92" s="18" t="n">
        <f aca="false">IFERROR(M92*F92,"")</f>
        <v>37.8874</v>
      </c>
      <c r="R92" s="22" t="n">
        <f aca="false">IFERROR(IF(M92&gt;0,ROUNDUP(Premissas!$B$12/M92,0),"sem lucro"),"")</f>
        <v>317</v>
      </c>
      <c r="S92" s="15" t="s">
        <v>111</v>
      </c>
      <c r="T92" s="23" t="s">
        <v>76</v>
      </c>
      <c r="U92" s="15" t="s">
        <v>336</v>
      </c>
      <c r="V92" s="18" t="n">
        <f aca="false">IF(AND(T92="S",ISNUMBER(L92),ISNUMBER(F92)),L92*F92*X92,0)</f>
        <v>0</v>
      </c>
      <c r="W92" s="18" t="n">
        <f aca="false">IF(AND(T92="S",ISNUMBER(Q92)),Q92*X92,0)</f>
        <v>0</v>
      </c>
      <c r="X92" s="23" t="n">
        <v>1</v>
      </c>
      <c r="Y92" s="18" t="n">
        <f aca="false">IF(AND(T92="S",ISNUMBER(G92)),G92*X92,0)</f>
        <v>0</v>
      </c>
    </row>
    <row r="93" customFormat="false" ht="26.85" hidden="false" customHeight="false" outlineLevel="0" collapsed="false">
      <c r="A93" s="14" t="s">
        <v>337</v>
      </c>
      <c r="B93" s="15" t="s">
        <v>338</v>
      </c>
      <c r="C93" s="14" t="s">
        <v>207</v>
      </c>
      <c r="D93" s="14" t="s">
        <v>63</v>
      </c>
      <c r="E93" s="14" t="n">
        <v>7</v>
      </c>
      <c r="F93" s="16" t="n">
        <v>24</v>
      </c>
      <c r="G93" s="17" t="n">
        <v>93.99</v>
      </c>
      <c r="H93" s="18" t="n">
        <f aca="false">IF(ISNUMBER(G93),IFERROR(G93/F93,""),"")</f>
        <v>3.91625</v>
      </c>
      <c r="I93" s="17" t="n">
        <v>19.9</v>
      </c>
      <c r="J93" s="17" t="n">
        <v>21.7</v>
      </c>
      <c r="K93" s="19" t="s">
        <v>64</v>
      </c>
      <c r="L93" s="20" t="n">
        <v>15.9</v>
      </c>
      <c r="M93" s="18" t="n">
        <f aca="false">IFERROR(L93*(1-Premissas!$B$5)*(1-Premissas!$B$6)-H93-Premissas!$B$7,"")</f>
        <v>10.0377</v>
      </c>
      <c r="N93" s="21" t="n">
        <f aca="false">IFERROR(M93/L93,"")</f>
        <v>0.631301886792453</v>
      </c>
      <c r="O93" s="18" t="n">
        <f aca="false">IFERROR(L93*(1-Premissas!$B$8)-Premissas!$B$9-H93-Premissas!$B$7,"")</f>
        <v>2.82575</v>
      </c>
      <c r="P93" s="18" t="n">
        <f aca="false">IFERROR(L93*(1-Premissas!$B$10)-Premissas!$B$11-H93-Premissas!$B$7,"")</f>
        <v>3.80375</v>
      </c>
      <c r="Q93" s="18" t="n">
        <f aca="false">IFERROR(M93*F93,"")</f>
        <v>240.9048</v>
      </c>
      <c r="R93" s="22" t="n">
        <f aca="false">IFERROR(IF(M93&gt;0,ROUNDUP(Premissas!$B$12/M93,0),"sem lucro"),"")</f>
        <v>100</v>
      </c>
      <c r="S93" s="15" t="s">
        <v>65</v>
      </c>
      <c r="T93" s="23" t="s">
        <v>66</v>
      </c>
      <c r="U93" s="15" t="s">
        <v>339</v>
      </c>
      <c r="V93" s="18" t="n">
        <f aca="false">IF(AND(T93="S",ISNUMBER(L93),ISNUMBER(F93)),L93*F93*X93,0)</f>
        <v>381.6</v>
      </c>
      <c r="W93" s="18" t="n">
        <f aca="false">IF(AND(T93="S",ISNUMBER(Q93)),Q93*X93,0)</f>
        <v>240.9048</v>
      </c>
      <c r="X93" s="23" t="n">
        <v>1</v>
      </c>
      <c r="Y93" s="18" t="n">
        <f aca="false">IF(AND(T93="S",ISNUMBER(G93)),G93*X93,0)</f>
        <v>93.99</v>
      </c>
    </row>
    <row r="94" customFormat="false" ht="26.85" hidden="false" customHeight="false" outlineLevel="0" collapsed="false">
      <c r="A94" s="14" t="s">
        <v>340</v>
      </c>
      <c r="B94" s="15" t="s">
        <v>341</v>
      </c>
      <c r="C94" s="14" t="s">
        <v>198</v>
      </c>
      <c r="D94" s="14" t="s">
        <v>224</v>
      </c>
      <c r="E94" s="14" t="n">
        <v>7</v>
      </c>
      <c r="F94" s="16" t="n">
        <v>1</v>
      </c>
      <c r="G94" s="17" t="n">
        <v>6.99</v>
      </c>
      <c r="H94" s="18" t="n">
        <f aca="false">IF(ISNUMBER(G94),IFERROR(G94/F94,""),"")</f>
        <v>6.99</v>
      </c>
      <c r="I94" s="17" t="n">
        <v>14.9</v>
      </c>
      <c r="J94" s="17" t="n">
        <v>19.9</v>
      </c>
      <c r="K94" s="19" t="s">
        <v>64</v>
      </c>
      <c r="L94" s="20" t="n">
        <v>19.9</v>
      </c>
      <c r="M94" s="18" t="n">
        <f aca="false">IFERROR(L94*(1-Premissas!$B$5)*(1-Premissas!$B$6)-H94-Premissas!$B$7,"")</f>
        <v>10.72595</v>
      </c>
      <c r="N94" s="21" t="n">
        <f aca="false">IFERROR(M94/L94,"")</f>
        <v>0.538992462311558</v>
      </c>
      <c r="O94" s="18" t="n">
        <f aca="false">IFERROR(L94*(1-Premissas!$B$8)-Premissas!$B$9-H94-Premissas!$B$7,"")</f>
        <v>3.272</v>
      </c>
      <c r="P94" s="18" t="n">
        <f aca="false">IFERROR(L94*(1-Premissas!$B$10)-Premissas!$B$11-H94-Premissas!$B$7,"")</f>
        <v>3.93</v>
      </c>
      <c r="Q94" s="18" t="n">
        <f aca="false">IFERROR(M94*F94,"")</f>
        <v>10.72595</v>
      </c>
      <c r="R94" s="22" t="n">
        <f aca="false">IFERROR(IF(M94&gt;0,ROUNDUP(Premissas!$B$12/M94,0),"sem lucro"),"")</f>
        <v>94</v>
      </c>
      <c r="S94" s="15" t="s">
        <v>82</v>
      </c>
      <c r="T94" s="23" t="s">
        <v>76</v>
      </c>
      <c r="U94" s="15" t="s">
        <v>342</v>
      </c>
      <c r="V94" s="18" t="n">
        <f aca="false">IF(AND(T94="S",ISNUMBER(L94),ISNUMBER(F94)),L94*F94*X94,0)</f>
        <v>0</v>
      </c>
      <c r="W94" s="18" t="n">
        <f aca="false">IF(AND(T94="S",ISNUMBER(Q94)),Q94*X94,0)</f>
        <v>0</v>
      </c>
      <c r="X94" s="23" t="n">
        <v>12</v>
      </c>
      <c r="Y94" s="18" t="n">
        <f aca="false">IF(AND(T94="S",ISNUMBER(G94)),G94*X94,0)</f>
        <v>0</v>
      </c>
    </row>
    <row r="95" customFormat="false" ht="15" hidden="false" customHeight="false" outlineLevel="0" collapsed="false">
      <c r="A95" s="14" t="s">
        <v>343</v>
      </c>
      <c r="B95" s="15" t="s">
        <v>344</v>
      </c>
      <c r="C95" s="14" t="s">
        <v>316</v>
      </c>
      <c r="D95" s="14" t="s">
        <v>63</v>
      </c>
      <c r="E95" s="14" t="n">
        <v>7</v>
      </c>
      <c r="F95" s="16" t="n">
        <v>24</v>
      </c>
      <c r="G95" s="17" t="n">
        <v>160.4</v>
      </c>
      <c r="H95" s="18" t="n">
        <f aca="false">IF(ISNUMBER(G95),IFERROR(G95/F95,""),"")</f>
        <v>6.68333333333333</v>
      </c>
      <c r="I95" s="17" t="n">
        <v>12.9</v>
      </c>
      <c r="J95" s="17" t="n">
        <v>12.9</v>
      </c>
      <c r="K95" s="19" t="s">
        <v>64</v>
      </c>
      <c r="L95" s="20" t="n">
        <v>12.9</v>
      </c>
      <c r="M95" s="18" t="n">
        <f aca="false">IFERROR(L95*(1-Premissas!$B$5)*(1-Premissas!$B$6)-H95-Premissas!$B$7,"")</f>
        <v>4.44911666666667</v>
      </c>
      <c r="N95" s="21" t="n">
        <f aca="false">IFERROR(M95/L95,"")</f>
        <v>0.344892764857881</v>
      </c>
      <c r="O95" s="18" t="n">
        <f aca="false">IFERROR(L95*(1-Premissas!$B$8)-Premissas!$B$9-H95-Premissas!$B$7,"")</f>
        <v>-2.58133333333333</v>
      </c>
      <c r="P95" s="18" t="n">
        <f aca="false">IFERROR(L95*(1-Premissas!$B$10)-Premissas!$B$11-H95-Premissas!$B$7,"")</f>
        <v>-1.36333333333333</v>
      </c>
      <c r="Q95" s="18" t="n">
        <f aca="false">IFERROR(M95*F95,"")</f>
        <v>106.7788</v>
      </c>
      <c r="R95" s="22" t="n">
        <f aca="false">IFERROR(IF(M95&gt;0,ROUNDUP(Premissas!$B$12/M95,0),"sem lucro"),"")</f>
        <v>225</v>
      </c>
      <c r="S95" s="15" t="s">
        <v>307</v>
      </c>
      <c r="T95" s="23" t="s">
        <v>76</v>
      </c>
      <c r="U95" s="15"/>
      <c r="V95" s="18" t="n">
        <f aca="false">IF(AND(T95="S",ISNUMBER(L95),ISNUMBER(F95)),L95*F95*X95,0)</f>
        <v>0</v>
      </c>
      <c r="W95" s="18" t="n">
        <f aca="false">IF(AND(T95="S",ISNUMBER(Q95)),Q95*X95,0)</f>
        <v>0</v>
      </c>
      <c r="X95" s="23" t="n">
        <v>1</v>
      </c>
      <c r="Y95" s="18" t="n">
        <f aca="false">IF(AND(T95="S",ISNUMBER(G95)),G95*X95,0)</f>
        <v>0</v>
      </c>
    </row>
    <row r="96" customFormat="false" ht="15" hidden="false" customHeight="false" outlineLevel="0" collapsed="false">
      <c r="A96" s="14" t="s">
        <v>345</v>
      </c>
      <c r="B96" s="15" t="s">
        <v>346</v>
      </c>
      <c r="C96" s="14" t="s">
        <v>259</v>
      </c>
      <c r="D96" s="14" t="s">
        <v>117</v>
      </c>
      <c r="E96" s="14" t="n">
        <v>7</v>
      </c>
      <c r="F96" s="16" t="n">
        <v>24</v>
      </c>
      <c r="G96" s="17"/>
      <c r="H96" s="18" t="str">
        <f aca="false">IF(ISNUMBER(G96),IFERROR(G96/F96,""),"")</f>
        <v/>
      </c>
      <c r="I96" s="17"/>
      <c r="J96" s="17"/>
      <c r="K96" s="19" t="s">
        <v>64</v>
      </c>
      <c r="L96" s="20"/>
      <c r="M96" s="18" t="str">
        <f aca="false">IFERROR(L96*(1-Premissas!$B$5)*(1-Premissas!$B$6)-H96-Premissas!$B$7,"")</f>
        <v/>
      </c>
      <c r="N96" s="21" t="str">
        <f aca="false">IFERROR(M96/L96,"")</f>
        <v/>
      </c>
      <c r="O96" s="18" t="str">
        <f aca="false">IFERROR(L96*(1-Premissas!$B$8)-Premissas!$B$9-H96-Premissas!$B$7,"")</f>
        <v/>
      </c>
      <c r="P96" s="18" t="str">
        <f aca="false">IFERROR(L96*(1-Premissas!$B$10)-Premissas!$B$11-H96-Premissas!$B$7,"")</f>
        <v/>
      </c>
      <c r="Q96" s="18" t="str">
        <f aca="false">IFERROR(M96*F96,"")</f>
        <v/>
      </c>
      <c r="R96" s="22" t="str">
        <f aca="false">IFERROR(IF(M96&gt;0,ROUNDUP(Premissas!$B$12/M96,0),"sem lucro"),"")</f>
        <v/>
      </c>
      <c r="S96" s="15" t="s">
        <v>75</v>
      </c>
      <c r="T96" s="23" t="s">
        <v>76</v>
      </c>
      <c r="U96" s="15" t="s">
        <v>347</v>
      </c>
      <c r="V96" s="18" t="n">
        <f aca="false">IF(AND(T96="S",ISNUMBER(L96),ISNUMBER(F96)),L96*F96*X96,0)</f>
        <v>0</v>
      </c>
      <c r="W96" s="18" t="n">
        <f aca="false">IF(AND(T96="S",ISNUMBER(Q96)),Q96*X96,0)</f>
        <v>0</v>
      </c>
      <c r="X96" s="23" t="n">
        <v>1</v>
      </c>
      <c r="Y96" s="18" t="n">
        <f aca="false">IF(AND(T96="S",ISNUMBER(G96)),G96*X96,0)</f>
        <v>0</v>
      </c>
    </row>
    <row r="97" customFormat="false" ht="15" hidden="false" customHeight="false" outlineLevel="0" collapsed="false">
      <c r="A97" s="14" t="s">
        <v>348</v>
      </c>
      <c r="B97" s="15" t="s">
        <v>349</v>
      </c>
      <c r="C97" s="14" t="s">
        <v>259</v>
      </c>
      <c r="D97" s="14" t="s">
        <v>117</v>
      </c>
      <c r="E97" s="14" t="n">
        <v>7</v>
      </c>
      <c r="F97" s="16" t="n">
        <v>24</v>
      </c>
      <c r="G97" s="17"/>
      <c r="H97" s="18" t="str">
        <f aca="false">IF(ISNUMBER(G97),IFERROR(G97/F97,""),"")</f>
        <v/>
      </c>
      <c r="I97" s="17"/>
      <c r="J97" s="17"/>
      <c r="K97" s="19" t="s">
        <v>64</v>
      </c>
      <c r="L97" s="20"/>
      <c r="M97" s="18" t="str">
        <f aca="false">IFERROR(L97*(1-Premissas!$B$5)*(1-Premissas!$B$6)-H97-Premissas!$B$7,"")</f>
        <v/>
      </c>
      <c r="N97" s="21" t="str">
        <f aca="false">IFERROR(M97/L97,"")</f>
        <v/>
      </c>
      <c r="O97" s="18" t="str">
        <f aca="false">IFERROR(L97*(1-Premissas!$B$8)-Premissas!$B$9-H97-Premissas!$B$7,"")</f>
        <v/>
      </c>
      <c r="P97" s="18" t="str">
        <f aca="false">IFERROR(L97*(1-Premissas!$B$10)-Premissas!$B$11-H97-Premissas!$B$7,"")</f>
        <v/>
      </c>
      <c r="Q97" s="18" t="str">
        <f aca="false">IFERROR(M97*F97,"")</f>
        <v/>
      </c>
      <c r="R97" s="22" t="str">
        <f aca="false">IFERROR(IF(M97&gt;0,ROUNDUP(Premissas!$B$12/M97,0),"sem lucro"),"")</f>
        <v/>
      </c>
      <c r="S97" s="15" t="s">
        <v>75</v>
      </c>
      <c r="T97" s="23" t="s">
        <v>76</v>
      </c>
      <c r="U97" s="15" t="s">
        <v>347</v>
      </c>
      <c r="V97" s="18" t="n">
        <f aca="false">IF(AND(T97="S",ISNUMBER(L97),ISNUMBER(F97)),L97*F97*X97,0)</f>
        <v>0</v>
      </c>
      <c r="W97" s="18" t="n">
        <f aca="false">IF(AND(T97="S",ISNUMBER(Q97)),Q97*X97,0)</f>
        <v>0</v>
      </c>
      <c r="X97" s="23" t="n">
        <v>1</v>
      </c>
      <c r="Y97" s="18" t="n">
        <f aca="false">IF(AND(T97="S",ISNUMBER(G97)),G97*X97,0)</f>
        <v>0</v>
      </c>
    </row>
    <row r="98" customFormat="false" ht="15" hidden="false" customHeight="false" outlineLevel="0" collapsed="false">
      <c r="A98" s="14" t="s">
        <v>350</v>
      </c>
      <c r="B98" s="15" t="s">
        <v>351</v>
      </c>
      <c r="C98" s="14" t="s">
        <v>195</v>
      </c>
      <c r="D98" s="14" t="s">
        <v>63</v>
      </c>
      <c r="E98" s="14" t="n">
        <v>8</v>
      </c>
      <c r="F98" s="16" t="n">
        <v>19</v>
      </c>
      <c r="G98" s="17" t="n">
        <v>119.9</v>
      </c>
      <c r="H98" s="18" t="n">
        <f aca="false">IF(ISNUMBER(G98),IFERROR(G98/F98,""),"")</f>
        <v>6.31052631578947</v>
      </c>
      <c r="I98" s="17" t="n">
        <v>12.9</v>
      </c>
      <c r="J98" s="17" t="n">
        <v>14.9</v>
      </c>
      <c r="K98" s="19" t="s">
        <v>64</v>
      </c>
      <c r="L98" s="20" t="n">
        <v>13.9</v>
      </c>
      <c r="M98" s="18" t="n">
        <f aca="false">IFERROR(L98*(1-Premissas!$B$5)*(1-Premissas!$B$6)-H98-Premissas!$B$7,"")</f>
        <v>5.76242368421053</v>
      </c>
      <c r="N98" s="21" t="n">
        <f aca="false">IFERROR(M98/L98,"")</f>
        <v>0.414562854979175</v>
      </c>
      <c r="O98" s="18" t="n">
        <f aca="false">IFERROR(L98*(1-Premissas!$B$8)-Premissas!$B$9-H98-Premissas!$B$7,"")</f>
        <v>-1.32852631578947</v>
      </c>
      <c r="P98" s="18" t="n">
        <f aca="false">IFERROR(L98*(1-Premissas!$B$10)-Premissas!$B$11-H98-Premissas!$B$7,"")</f>
        <v>-0.190526315789473</v>
      </c>
      <c r="Q98" s="18" t="n">
        <f aca="false">IFERROR(M98*F98,"")</f>
        <v>109.48605</v>
      </c>
      <c r="R98" s="22" t="n">
        <f aca="false">IFERROR(IF(M98&gt;0,ROUNDUP(Premissas!$B$12/M98,0),"sem lucro"),"")</f>
        <v>174</v>
      </c>
      <c r="S98" s="15" t="s">
        <v>82</v>
      </c>
      <c r="T98" s="23" t="s">
        <v>76</v>
      </c>
      <c r="U98" s="15" t="s">
        <v>352</v>
      </c>
      <c r="V98" s="18" t="n">
        <f aca="false">IF(AND(T98="S",ISNUMBER(L98),ISNUMBER(F98)),L98*F98*X98,0)</f>
        <v>0</v>
      </c>
      <c r="W98" s="18" t="n">
        <f aca="false">IF(AND(T98="S",ISNUMBER(Q98)),Q98*X98,0)</f>
        <v>0</v>
      </c>
      <c r="X98" s="23" t="n">
        <v>1</v>
      </c>
      <c r="Y98" s="18" t="n">
        <f aca="false">IF(AND(T98="S",ISNUMBER(G98)),G98*X98,0)</f>
        <v>0</v>
      </c>
    </row>
    <row r="99" customFormat="false" ht="15" hidden="false" customHeight="false" outlineLevel="0" collapsed="false">
      <c r="A99" s="14" t="s">
        <v>353</v>
      </c>
      <c r="B99" s="15" t="s">
        <v>354</v>
      </c>
      <c r="C99" s="14" t="s">
        <v>195</v>
      </c>
      <c r="D99" s="14" t="s">
        <v>63</v>
      </c>
      <c r="E99" s="14" t="n">
        <v>8</v>
      </c>
      <c r="F99" s="16" t="n">
        <v>24</v>
      </c>
      <c r="G99" s="17" t="n">
        <v>142.2</v>
      </c>
      <c r="H99" s="18" t="n">
        <f aca="false">IF(ISNUMBER(G99),IFERROR(G99/F99,""),"")</f>
        <v>5.925</v>
      </c>
      <c r="I99" s="17" t="n">
        <v>12.9</v>
      </c>
      <c r="J99" s="17" t="n">
        <v>12.9</v>
      </c>
      <c r="K99" s="19" t="s">
        <v>64</v>
      </c>
      <c r="L99" s="20" t="n">
        <v>12.9</v>
      </c>
      <c r="M99" s="18" t="n">
        <f aca="false">IFERROR(L99*(1-Premissas!$B$5)*(1-Premissas!$B$6)-H99-Premissas!$B$7,"")</f>
        <v>5.20745</v>
      </c>
      <c r="N99" s="21" t="n">
        <f aca="false">IFERROR(M99/L99,"")</f>
        <v>0.403678294573643</v>
      </c>
      <c r="O99" s="18" t="n">
        <f aca="false">IFERROR(L99*(1-Premissas!$B$8)-Premissas!$B$9-H99-Premissas!$B$7,"")</f>
        <v>-1.823</v>
      </c>
      <c r="P99" s="18" t="n">
        <f aca="false">IFERROR(L99*(1-Premissas!$B$10)-Premissas!$B$11-H99-Premissas!$B$7,"")</f>
        <v>-0.605</v>
      </c>
      <c r="Q99" s="18" t="n">
        <f aca="false">IFERROR(M99*F99,"")</f>
        <v>124.9788</v>
      </c>
      <c r="R99" s="22" t="n">
        <f aca="false">IFERROR(IF(M99&gt;0,ROUNDUP(Premissas!$B$12/M99,0),"sem lucro"),"")</f>
        <v>193</v>
      </c>
      <c r="S99" s="15" t="s">
        <v>82</v>
      </c>
      <c r="T99" s="23" t="s">
        <v>76</v>
      </c>
      <c r="U99" s="15"/>
      <c r="V99" s="18" t="n">
        <f aca="false">IF(AND(T99="S",ISNUMBER(L99),ISNUMBER(F99)),L99*F99*X99,0)</f>
        <v>0</v>
      </c>
      <c r="W99" s="18" t="n">
        <f aca="false">IF(AND(T99="S",ISNUMBER(Q99)),Q99*X99,0)</f>
        <v>0</v>
      </c>
      <c r="X99" s="23" t="n">
        <v>1</v>
      </c>
      <c r="Y99" s="18" t="n">
        <f aca="false">IF(AND(T99="S",ISNUMBER(G99)),G99*X99,0)</f>
        <v>0</v>
      </c>
    </row>
    <row r="100" customFormat="false" ht="15" hidden="false" customHeight="false" outlineLevel="0" collapsed="false">
      <c r="A100" s="14" t="s">
        <v>355</v>
      </c>
      <c r="B100" s="15" t="s">
        <v>356</v>
      </c>
      <c r="C100" s="14" t="s">
        <v>195</v>
      </c>
      <c r="D100" s="14" t="s">
        <v>117</v>
      </c>
      <c r="E100" s="14" t="n">
        <v>8</v>
      </c>
      <c r="F100" s="16" t="n">
        <v>24</v>
      </c>
      <c r="G100" s="17" t="n">
        <v>129.3</v>
      </c>
      <c r="H100" s="18" t="n">
        <f aca="false">IF(ISNUMBER(G100),IFERROR(G100/F100,""),"")</f>
        <v>5.3875</v>
      </c>
      <c r="I100" s="17" t="n">
        <v>12.9</v>
      </c>
      <c r="J100" s="17" t="n">
        <v>12.9</v>
      </c>
      <c r="K100" s="19" t="s">
        <v>64</v>
      </c>
      <c r="L100" s="20" t="n">
        <v>12.9</v>
      </c>
      <c r="M100" s="18" t="n">
        <f aca="false">IFERROR(L100*(1-Premissas!$B$5)*(1-Premissas!$B$6)-H100-Premissas!$B$7,"")</f>
        <v>5.74495</v>
      </c>
      <c r="N100" s="21" t="n">
        <f aca="false">IFERROR(M100/L100,"")</f>
        <v>0.44534496124031</v>
      </c>
      <c r="O100" s="18" t="n">
        <f aca="false">IFERROR(L100*(1-Premissas!$B$8)-Premissas!$B$9-H100-Premissas!$B$7,"")</f>
        <v>-1.2855</v>
      </c>
      <c r="P100" s="18" t="n">
        <f aca="false">IFERROR(L100*(1-Premissas!$B$10)-Premissas!$B$11-H100-Premissas!$B$7,"")</f>
        <v>-0.0674999999999999</v>
      </c>
      <c r="Q100" s="18" t="n">
        <f aca="false">IFERROR(M100*F100,"")</f>
        <v>137.8788</v>
      </c>
      <c r="R100" s="22" t="n">
        <f aca="false">IFERROR(IF(M100&gt;0,ROUNDUP(Premissas!$B$12/M100,0),"sem lucro"),"")</f>
        <v>175</v>
      </c>
      <c r="S100" s="15" t="s">
        <v>252</v>
      </c>
      <c r="T100" s="23" t="s">
        <v>76</v>
      </c>
      <c r="U100" s="15"/>
      <c r="V100" s="18" t="n">
        <f aca="false">IF(AND(T100="S",ISNUMBER(L100),ISNUMBER(F100)),L100*F100*X100,0)</f>
        <v>0</v>
      </c>
      <c r="W100" s="18" t="n">
        <f aca="false">IF(AND(T100="S",ISNUMBER(Q100)),Q100*X100,0)</f>
        <v>0</v>
      </c>
      <c r="X100" s="23" t="n">
        <v>1</v>
      </c>
      <c r="Y100" s="18" t="n">
        <f aca="false">IF(AND(T100="S",ISNUMBER(G100)),G100*X100,0)</f>
        <v>0</v>
      </c>
    </row>
    <row r="101" customFormat="false" ht="26.85" hidden="false" customHeight="false" outlineLevel="0" collapsed="false">
      <c r="A101" s="14" t="s">
        <v>357</v>
      </c>
      <c r="B101" s="15" t="s">
        <v>358</v>
      </c>
      <c r="C101" s="14" t="s">
        <v>359</v>
      </c>
      <c r="D101" s="14" t="s">
        <v>117</v>
      </c>
      <c r="E101" s="14" t="n">
        <v>8</v>
      </c>
      <c r="F101" s="16" t="n">
        <v>24</v>
      </c>
      <c r="G101" s="17" t="n">
        <v>160.4</v>
      </c>
      <c r="H101" s="18" t="n">
        <f aca="false">IF(ISNUMBER(G101),IFERROR(G101/F101,""),"")</f>
        <v>6.68333333333333</v>
      </c>
      <c r="I101" s="17" t="n">
        <v>14.9</v>
      </c>
      <c r="J101" s="17" t="n">
        <v>14.9</v>
      </c>
      <c r="K101" s="19" t="s">
        <v>64</v>
      </c>
      <c r="L101" s="20" t="n">
        <v>14.9</v>
      </c>
      <c r="M101" s="18" t="n">
        <f aca="false">IFERROR(L101*(1-Premissas!$B$5)*(1-Premissas!$B$6)-H101-Premissas!$B$7,"")</f>
        <v>6.33011666666667</v>
      </c>
      <c r="N101" s="21" t="n">
        <f aca="false">IFERROR(M101/L101,"")</f>
        <v>0.424840044742729</v>
      </c>
      <c r="O101" s="18" t="n">
        <f aca="false">IFERROR(L101*(1-Premissas!$B$8)-Premissas!$B$9-H101-Premissas!$B$7,"")</f>
        <v>-0.821333333333334</v>
      </c>
      <c r="P101" s="18" t="n">
        <f aca="false">IFERROR(L101*(1-Premissas!$B$10)-Premissas!$B$11-H101-Premissas!$B$7,"")</f>
        <v>0.236666666666668</v>
      </c>
      <c r="Q101" s="18" t="n">
        <f aca="false">IFERROR(M101*F101,"")</f>
        <v>151.9228</v>
      </c>
      <c r="R101" s="22" t="n">
        <f aca="false">IFERROR(IF(M101&gt;0,ROUNDUP(Premissas!$B$12/M101,0),"sem lucro"),"")</f>
        <v>158</v>
      </c>
      <c r="S101" s="15" t="s">
        <v>360</v>
      </c>
      <c r="T101" s="23" t="s">
        <v>76</v>
      </c>
      <c r="U101" s="15" t="s">
        <v>361</v>
      </c>
      <c r="V101" s="18" t="n">
        <f aca="false">IF(AND(T101="S",ISNUMBER(L101),ISNUMBER(F101)),L101*F101*X101,0)</f>
        <v>0</v>
      </c>
      <c r="W101" s="18" t="n">
        <f aca="false">IF(AND(T101="S",ISNUMBER(Q101)),Q101*X101,0)</f>
        <v>0</v>
      </c>
      <c r="X101" s="23" t="n">
        <v>1</v>
      </c>
      <c r="Y101" s="18" t="n">
        <f aca="false">IF(AND(T101="S",ISNUMBER(G101)),G101*X101,0)</f>
        <v>0</v>
      </c>
    </row>
    <row r="102" customFormat="false" ht="15" hidden="false" customHeight="false" outlineLevel="0" collapsed="false">
      <c r="A102" s="14" t="s">
        <v>362</v>
      </c>
      <c r="B102" s="15" t="s">
        <v>363</v>
      </c>
      <c r="C102" s="14" t="s">
        <v>153</v>
      </c>
      <c r="D102" s="14" t="s">
        <v>117</v>
      </c>
      <c r="E102" s="14" t="n">
        <v>8</v>
      </c>
      <c r="F102" s="16" t="n">
        <v>24</v>
      </c>
      <c r="G102" s="17" t="n">
        <v>147.2</v>
      </c>
      <c r="H102" s="18" t="n">
        <f aca="false">IF(ISNUMBER(G102),IFERROR(G102/F102,""),"")</f>
        <v>6.13333333333333</v>
      </c>
      <c r="I102" s="17" t="n">
        <v>12.9</v>
      </c>
      <c r="J102" s="17" t="n">
        <v>12.9</v>
      </c>
      <c r="K102" s="19" t="s">
        <v>64</v>
      </c>
      <c r="L102" s="20" t="n">
        <v>12.9</v>
      </c>
      <c r="M102" s="18" t="n">
        <f aca="false">IFERROR(L102*(1-Premissas!$B$5)*(1-Premissas!$B$6)-H102-Premissas!$B$7,"")</f>
        <v>4.99911666666667</v>
      </c>
      <c r="N102" s="21" t="n">
        <f aca="false">IFERROR(M102/L102,"")</f>
        <v>0.38752842377261</v>
      </c>
      <c r="O102" s="18" t="n">
        <f aca="false">IFERROR(L102*(1-Premissas!$B$8)-Premissas!$B$9-H102-Premissas!$B$7,"")</f>
        <v>-2.03133333333333</v>
      </c>
      <c r="P102" s="18" t="n">
        <f aca="false">IFERROR(L102*(1-Premissas!$B$10)-Premissas!$B$11-H102-Premissas!$B$7,"")</f>
        <v>-0.813333333333333</v>
      </c>
      <c r="Q102" s="18" t="n">
        <f aca="false">IFERROR(M102*F102,"")</f>
        <v>119.9788</v>
      </c>
      <c r="R102" s="22" t="n">
        <f aca="false">IFERROR(IF(M102&gt;0,ROUNDUP(Premissas!$B$12/M102,0),"sem lucro"),"")</f>
        <v>201</v>
      </c>
      <c r="S102" s="15" t="s">
        <v>252</v>
      </c>
      <c r="T102" s="23" t="s">
        <v>76</v>
      </c>
      <c r="U102" s="15"/>
      <c r="V102" s="18" t="n">
        <f aca="false">IF(AND(T102="S",ISNUMBER(L102),ISNUMBER(F102)),L102*F102*X102,0)</f>
        <v>0</v>
      </c>
      <c r="W102" s="18" t="n">
        <f aca="false">IF(AND(T102="S",ISNUMBER(Q102)),Q102*X102,0)</f>
        <v>0</v>
      </c>
      <c r="X102" s="23" t="n">
        <v>1</v>
      </c>
      <c r="Y102" s="18" t="n">
        <f aca="false">IF(AND(T102="S",ISNUMBER(G102)),G102*X102,0)</f>
        <v>0</v>
      </c>
    </row>
    <row r="103" customFormat="false" ht="15" hidden="false" customHeight="false" outlineLevel="0" collapsed="false">
      <c r="A103" s="14" t="s">
        <v>364</v>
      </c>
      <c r="B103" s="15" t="s">
        <v>365</v>
      </c>
      <c r="C103" s="14" t="s">
        <v>153</v>
      </c>
      <c r="D103" s="14" t="s">
        <v>157</v>
      </c>
      <c r="E103" s="14" t="n">
        <v>8</v>
      </c>
      <c r="F103" s="16" t="n">
        <v>24</v>
      </c>
      <c r="G103" s="17" t="n">
        <v>135.9</v>
      </c>
      <c r="H103" s="18" t="n">
        <f aca="false">IF(ISNUMBER(G103),IFERROR(G103/F103,""),"")</f>
        <v>5.6625</v>
      </c>
      <c r="I103" s="17" t="n">
        <v>12.9</v>
      </c>
      <c r="J103" s="17" t="n">
        <v>12.9</v>
      </c>
      <c r="K103" s="19" t="s">
        <v>64</v>
      </c>
      <c r="L103" s="20" t="n">
        <v>12.9</v>
      </c>
      <c r="M103" s="18" t="n">
        <f aca="false">IFERROR(L103*(1-Premissas!$B$5)*(1-Premissas!$B$6)-H103-Premissas!$B$7,"")</f>
        <v>5.46995</v>
      </c>
      <c r="N103" s="21" t="n">
        <f aca="false">IFERROR(M103/L103,"")</f>
        <v>0.424027131782946</v>
      </c>
      <c r="O103" s="18" t="n">
        <f aca="false">IFERROR(L103*(1-Premissas!$B$8)-Premissas!$B$9-H103-Premissas!$B$7,"")</f>
        <v>-1.5605</v>
      </c>
      <c r="P103" s="18" t="n">
        <f aca="false">IFERROR(L103*(1-Premissas!$B$10)-Premissas!$B$11-H103-Premissas!$B$7,"")</f>
        <v>-0.3425</v>
      </c>
      <c r="Q103" s="18" t="n">
        <f aca="false">IFERROR(M103*F103,"")</f>
        <v>131.2788</v>
      </c>
      <c r="R103" s="22" t="n">
        <f aca="false">IFERROR(IF(M103&gt;0,ROUNDUP(Premissas!$B$12/M103,0),"sem lucro"),"")</f>
        <v>183</v>
      </c>
      <c r="S103" s="15" t="s">
        <v>82</v>
      </c>
      <c r="T103" s="23" t="s">
        <v>76</v>
      </c>
      <c r="U103" s="15" t="s">
        <v>366</v>
      </c>
      <c r="V103" s="18" t="n">
        <f aca="false">IF(AND(T103="S",ISNUMBER(L103),ISNUMBER(F103)),L103*F103*X103,0)</f>
        <v>0</v>
      </c>
      <c r="W103" s="18" t="n">
        <f aca="false">IF(AND(T103="S",ISNUMBER(Q103)),Q103*X103,0)</f>
        <v>0</v>
      </c>
      <c r="X103" s="23" t="n">
        <v>1</v>
      </c>
      <c r="Y103" s="18" t="n">
        <f aca="false">IF(AND(T103="S",ISNUMBER(G103)),G103*X103,0)</f>
        <v>0</v>
      </c>
    </row>
    <row r="104" customFormat="false" ht="15" hidden="false" customHeight="false" outlineLevel="0" collapsed="false">
      <c r="A104" s="14" t="s">
        <v>367</v>
      </c>
      <c r="B104" s="15" t="s">
        <v>368</v>
      </c>
      <c r="C104" s="14" t="s">
        <v>319</v>
      </c>
      <c r="D104" s="14" t="s">
        <v>117</v>
      </c>
      <c r="E104" s="14" t="n">
        <v>8</v>
      </c>
      <c r="F104" s="16" t="n">
        <v>1</v>
      </c>
      <c r="G104" s="17" t="n">
        <v>5.7</v>
      </c>
      <c r="H104" s="18" t="n">
        <f aca="false">IF(ISNUMBER(G104),IFERROR(G104/F104,""),"")</f>
        <v>5.7</v>
      </c>
      <c r="I104" s="17" t="n">
        <v>5.5</v>
      </c>
      <c r="J104" s="17" t="n">
        <v>9.09</v>
      </c>
      <c r="K104" s="14" t="s">
        <v>93</v>
      </c>
      <c r="L104" s="20" t="n">
        <v>9.9</v>
      </c>
      <c r="M104" s="18" t="n">
        <f aca="false">IFERROR(L104*(1-Premissas!$B$5)*(1-Premissas!$B$6)-H104-Premissas!$B$7,"")</f>
        <v>2.61095</v>
      </c>
      <c r="N104" s="21" t="n">
        <f aca="false">IFERROR(M104/L104,"")</f>
        <v>0.263732323232323</v>
      </c>
      <c r="O104" s="18" t="n">
        <f aca="false">IFERROR(L104*(1-Premissas!$B$8)-Premissas!$B$9-H104-Premissas!$B$7,"")</f>
        <v>-4.238</v>
      </c>
      <c r="P104" s="18" t="n">
        <f aca="false">IFERROR(L104*(1-Premissas!$B$10)-Premissas!$B$11-H104-Premissas!$B$7,"")</f>
        <v>-2.78</v>
      </c>
      <c r="Q104" s="18" t="n">
        <f aca="false">IFERROR(M104*F104,"")</f>
        <v>2.61095</v>
      </c>
      <c r="R104" s="22" t="n">
        <f aca="false">IFERROR(IF(M104&gt;0,ROUNDUP(Premissas!$B$12/M104,0),"sem lucro"),"")</f>
        <v>384</v>
      </c>
      <c r="S104" s="15" t="s">
        <v>111</v>
      </c>
      <c r="T104" s="23" t="s">
        <v>76</v>
      </c>
      <c r="U104" s="15" t="s">
        <v>369</v>
      </c>
      <c r="V104" s="18" t="n">
        <f aca="false">IF(AND(T104="S",ISNUMBER(L104),ISNUMBER(F104)),L104*F104*X104,0)</f>
        <v>0</v>
      </c>
      <c r="W104" s="18" t="n">
        <f aca="false">IF(AND(T104="S",ISNUMBER(Q104)),Q104*X104,0)</f>
        <v>0</v>
      </c>
      <c r="X104" s="23" t="n">
        <v>12</v>
      </c>
      <c r="Y104" s="18" t="n">
        <f aca="false">IF(AND(T104="S",ISNUMBER(G104)),G104*X104,0)</f>
        <v>0</v>
      </c>
    </row>
    <row r="105" customFormat="false" ht="15" hidden="false" customHeight="false" outlineLevel="0" collapsed="false">
      <c r="A105" s="14" t="s">
        <v>370</v>
      </c>
      <c r="B105" s="15" t="s">
        <v>371</v>
      </c>
      <c r="C105" s="14" t="s">
        <v>319</v>
      </c>
      <c r="D105" s="14" t="s">
        <v>125</v>
      </c>
      <c r="E105" s="14" t="n">
        <v>8</v>
      </c>
      <c r="F105" s="16" t="n">
        <v>24</v>
      </c>
      <c r="G105" s="17" t="n">
        <v>123.7</v>
      </c>
      <c r="H105" s="18" t="n">
        <f aca="false">IF(ISNUMBER(G105),IFERROR(G105/F105,""),"")</f>
        <v>5.15416666666667</v>
      </c>
      <c r="I105" s="17" t="n">
        <v>12.9</v>
      </c>
      <c r="J105" s="17" t="n">
        <v>12.9</v>
      </c>
      <c r="K105" s="19" t="s">
        <v>64</v>
      </c>
      <c r="L105" s="20" t="n">
        <v>12.9</v>
      </c>
      <c r="M105" s="18" t="n">
        <f aca="false">IFERROR(L105*(1-Premissas!$B$5)*(1-Premissas!$B$6)-H105-Premissas!$B$7,"")</f>
        <v>5.97828333333333</v>
      </c>
      <c r="N105" s="21" t="n">
        <f aca="false">IFERROR(M105/L105,"")</f>
        <v>0.463432816537468</v>
      </c>
      <c r="O105" s="18" t="n">
        <f aca="false">IFERROR(L105*(1-Premissas!$B$8)-Premissas!$B$9-H105-Premissas!$B$7,"")</f>
        <v>-1.05216666666667</v>
      </c>
      <c r="P105" s="18" t="n">
        <f aca="false">IFERROR(L105*(1-Premissas!$B$10)-Premissas!$B$11-H105-Premissas!$B$7,"")</f>
        <v>0.165833333333334</v>
      </c>
      <c r="Q105" s="18" t="n">
        <f aca="false">IFERROR(M105*F105,"")</f>
        <v>143.4788</v>
      </c>
      <c r="R105" s="22" t="n">
        <f aca="false">IFERROR(IF(M105&gt;0,ROUNDUP(Premissas!$B$12/M105,0),"sem lucro"),"")</f>
        <v>168</v>
      </c>
      <c r="S105" s="15" t="s">
        <v>82</v>
      </c>
      <c r="T105" s="23" t="s">
        <v>76</v>
      </c>
      <c r="U105" s="15"/>
      <c r="V105" s="18" t="n">
        <f aca="false">IF(AND(T105="S",ISNUMBER(L105),ISNUMBER(F105)),L105*F105*X105,0)</f>
        <v>0</v>
      </c>
      <c r="W105" s="18" t="n">
        <f aca="false">IF(AND(T105="S",ISNUMBER(Q105)),Q105*X105,0)</f>
        <v>0</v>
      </c>
      <c r="X105" s="23" t="n">
        <v>1</v>
      </c>
      <c r="Y105" s="18" t="n">
        <f aca="false">IF(AND(T105="S",ISNUMBER(G105)),G105*X105,0)</f>
        <v>0</v>
      </c>
    </row>
    <row r="106" customFormat="false" ht="15" hidden="false" customHeight="false" outlineLevel="0" collapsed="false">
      <c r="A106" s="14" t="s">
        <v>372</v>
      </c>
      <c r="B106" s="15" t="s">
        <v>373</v>
      </c>
      <c r="C106" s="14" t="s">
        <v>319</v>
      </c>
      <c r="D106" s="14" t="s">
        <v>125</v>
      </c>
      <c r="E106" s="14" t="n">
        <v>8</v>
      </c>
      <c r="F106" s="16" t="n">
        <v>24</v>
      </c>
      <c r="G106" s="17" t="n">
        <v>123.7</v>
      </c>
      <c r="H106" s="18" t="n">
        <f aca="false">IF(ISNUMBER(G106),IFERROR(G106/F106,""),"")</f>
        <v>5.15416666666667</v>
      </c>
      <c r="I106" s="17" t="n">
        <v>12.9</v>
      </c>
      <c r="J106" s="17" t="n">
        <v>12.9</v>
      </c>
      <c r="K106" s="19" t="s">
        <v>64</v>
      </c>
      <c r="L106" s="20" t="n">
        <v>12.9</v>
      </c>
      <c r="M106" s="18" t="n">
        <f aca="false">IFERROR(L106*(1-Premissas!$B$5)*(1-Premissas!$B$6)-H106-Premissas!$B$7,"")</f>
        <v>5.97828333333333</v>
      </c>
      <c r="N106" s="21" t="n">
        <f aca="false">IFERROR(M106/L106,"")</f>
        <v>0.463432816537468</v>
      </c>
      <c r="O106" s="18" t="n">
        <f aca="false">IFERROR(L106*(1-Premissas!$B$8)-Premissas!$B$9-H106-Premissas!$B$7,"")</f>
        <v>-1.05216666666667</v>
      </c>
      <c r="P106" s="18" t="n">
        <f aca="false">IFERROR(L106*(1-Premissas!$B$10)-Premissas!$B$11-H106-Premissas!$B$7,"")</f>
        <v>0.165833333333334</v>
      </c>
      <c r="Q106" s="18" t="n">
        <f aca="false">IFERROR(M106*F106,"")</f>
        <v>143.4788</v>
      </c>
      <c r="R106" s="22" t="n">
        <f aca="false">IFERROR(IF(M106&gt;0,ROUNDUP(Premissas!$B$12/M106,0),"sem lucro"),"")</f>
        <v>168</v>
      </c>
      <c r="S106" s="15" t="s">
        <v>374</v>
      </c>
      <c r="T106" s="23" t="s">
        <v>66</v>
      </c>
      <c r="U106" s="15" t="s">
        <v>375</v>
      </c>
      <c r="V106" s="18" t="n">
        <f aca="false">IF(AND(T106="S",ISNUMBER(L106),ISNUMBER(F106)),L106*F106*X106,0)</f>
        <v>309.6</v>
      </c>
      <c r="W106" s="18" t="n">
        <f aca="false">IF(AND(T106="S",ISNUMBER(Q106)),Q106*X106,0)</f>
        <v>143.4788</v>
      </c>
      <c r="X106" s="23" t="n">
        <v>1</v>
      </c>
      <c r="Y106" s="18" t="n">
        <f aca="false">IF(AND(T106="S",ISNUMBER(G106)),G106*X106,0)</f>
        <v>123.7</v>
      </c>
    </row>
    <row r="107" customFormat="false" ht="15" hidden="false" customHeight="false" outlineLevel="0" collapsed="false">
      <c r="A107" s="14" t="s">
        <v>376</v>
      </c>
      <c r="B107" s="15" t="s">
        <v>377</v>
      </c>
      <c r="C107" s="14" t="s">
        <v>319</v>
      </c>
      <c r="D107" s="14" t="s">
        <v>117</v>
      </c>
      <c r="E107" s="14" t="n">
        <v>8</v>
      </c>
      <c r="F107" s="16" t="n">
        <v>1</v>
      </c>
      <c r="G107" s="17" t="n">
        <v>5.2</v>
      </c>
      <c r="H107" s="18" t="n">
        <f aca="false">IF(ISNUMBER(G107),IFERROR(G107/F107,""),"")</f>
        <v>5.2</v>
      </c>
      <c r="I107" s="17" t="n">
        <v>11.5</v>
      </c>
      <c r="J107" s="17" t="n">
        <v>11.5</v>
      </c>
      <c r="K107" s="14" t="s">
        <v>93</v>
      </c>
      <c r="L107" s="20" t="n">
        <v>11.9</v>
      </c>
      <c r="M107" s="18" t="n">
        <f aca="false">IFERROR(L107*(1-Premissas!$B$5)*(1-Premissas!$B$6)-H107-Premissas!$B$7,"")</f>
        <v>4.99195</v>
      </c>
      <c r="N107" s="21" t="n">
        <f aca="false">IFERROR(M107/L107,"")</f>
        <v>0.419491596638656</v>
      </c>
      <c r="O107" s="18" t="n">
        <f aca="false">IFERROR(L107*(1-Premissas!$B$8)-Premissas!$B$9-H107-Premissas!$B$7,"")</f>
        <v>-1.978</v>
      </c>
      <c r="P107" s="18" t="n">
        <f aca="false">IFERROR(L107*(1-Premissas!$B$10)-Premissas!$B$11-H107-Premissas!$B$7,"")</f>
        <v>-0.679999999999999</v>
      </c>
      <c r="Q107" s="18" t="n">
        <f aca="false">IFERROR(M107*F107,"")</f>
        <v>4.99195</v>
      </c>
      <c r="R107" s="22" t="n">
        <f aca="false">IFERROR(IF(M107&gt;0,ROUNDUP(Premissas!$B$12/M107,0),"sem lucro"),"")</f>
        <v>201</v>
      </c>
      <c r="S107" s="15" t="s">
        <v>82</v>
      </c>
      <c r="T107" s="23" t="s">
        <v>76</v>
      </c>
      <c r="U107" s="15" t="s">
        <v>378</v>
      </c>
      <c r="V107" s="18" t="n">
        <f aca="false">IF(AND(T107="S",ISNUMBER(L107),ISNUMBER(F107)),L107*F107*X107,0)</f>
        <v>0</v>
      </c>
      <c r="W107" s="18" t="n">
        <f aca="false">IF(AND(T107="S",ISNUMBER(Q107)),Q107*X107,0)</f>
        <v>0</v>
      </c>
      <c r="X107" s="23" t="n">
        <v>12</v>
      </c>
      <c r="Y107" s="18" t="n">
        <f aca="false">IF(AND(T107="S",ISNUMBER(G107)),G107*X107,0)</f>
        <v>0</v>
      </c>
    </row>
    <row r="108" customFormat="false" ht="15" hidden="false" customHeight="false" outlineLevel="0" collapsed="false">
      <c r="A108" s="14" t="s">
        <v>379</v>
      </c>
      <c r="B108" s="15" t="s">
        <v>380</v>
      </c>
      <c r="C108" s="14" t="s">
        <v>178</v>
      </c>
      <c r="D108" s="14" t="s">
        <v>117</v>
      </c>
      <c r="E108" s="14" t="n">
        <v>8</v>
      </c>
      <c r="F108" s="16" t="n">
        <v>24</v>
      </c>
      <c r="G108" s="17" t="n">
        <v>139.99</v>
      </c>
      <c r="H108" s="18" t="n">
        <f aca="false">IF(ISNUMBER(G108),IFERROR(G108/F108,""),"")</f>
        <v>5.83291666666667</v>
      </c>
      <c r="I108" s="17" t="n">
        <v>7.52</v>
      </c>
      <c r="J108" s="17" t="n">
        <v>10</v>
      </c>
      <c r="K108" s="19" t="s">
        <v>64</v>
      </c>
      <c r="L108" s="20" t="n">
        <v>11.9</v>
      </c>
      <c r="M108" s="18" t="n">
        <f aca="false">IFERROR(L108*(1-Premissas!$B$5)*(1-Premissas!$B$6)-H108-Premissas!$B$7,"")</f>
        <v>4.35903333333333</v>
      </c>
      <c r="N108" s="21" t="n">
        <f aca="false">IFERROR(M108/L108,"")</f>
        <v>0.366305322128852</v>
      </c>
      <c r="O108" s="18" t="n">
        <f aca="false">IFERROR(L108*(1-Premissas!$B$8)-Premissas!$B$9-H108-Premissas!$B$7,"")</f>
        <v>-2.61091666666667</v>
      </c>
      <c r="P108" s="18" t="n">
        <f aca="false">IFERROR(L108*(1-Premissas!$B$10)-Premissas!$B$11-H108-Premissas!$B$7,"")</f>
        <v>-1.31291666666667</v>
      </c>
      <c r="Q108" s="18" t="n">
        <f aca="false">IFERROR(M108*F108,"")</f>
        <v>104.6168</v>
      </c>
      <c r="R108" s="22" t="n">
        <f aca="false">IFERROR(IF(M108&gt;0,ROUNDUP(Premissas!$B$12/M108,0),"sem lucro"),"")</f>
        <v>230</v>
      </c>
      <c r="S108" s="15" t="s">
        <v>252</v>
      </c>
      <c r="T108" s="23" t="s">
        <v>76</v>
      </c>
      <c r="U108" s="15"/>
      <c r="V108" s="18" t="n">
        <f aca="false">IF(AND(T108="S",ISNUMBER(L108),ISNUMBER(F108)),L108*F108*X108,0)</f>
        <v>0</v>
      </c>
      <c r="W108" s="18" t="n">
        <f aca="false">IF(AND(T108="S",ISNUMBER(Q108)),Q108*X108,0)</f>
        <v>0</v>
      </c>
      <c r="X108" s="23" t="n">
        <v>1</v>
      </c>
      <c r="Y108" s="18" t="n">
        <f aca="false">IF(AND(T108="S",ISNUMBER(G108)),G108*X108,0)</f>
        <v>0</v>
      </c>
    </row>
    <row r="109" customFormat="false" ht="15" hidden="false" customHeight="false" outlineLevel="0" collapsed="false">
      <c r="A109" s="14" t="s">
        <v>381</v>
      </c>
      <c r="B109" s="15" t="s">
        <v>382</v>
      </c>
      <c r="C109" s="14" t="s">
        <v>178</v>
      </c>
      <c r="D109" s="14" t="s">
        <v>63</v>
      </c>
      <c r="E109" s="14" t="n">
        <v>8</v>
      </c>
      <c r="F109" s="16" t="n">
        <v>15</v>
      </c>
      <c r="G109" s="17" t="n">
        <v>76.8</v>
      </c>
      <c r="H109" s="18" t="n">
        <f aca="false">IF(ISNUMBER(G109),IFERROR(G109/F109,""),"")</f>
        <v>5.12</v>
      </c>
      <c r="I109" s="17" t="n">
        <v>12.9</v>
      </c>
      <c r="J109" s="17" t="n">
        <v>12.9</v>
      </c>
      <c r="K109" s="19" t="s">
        <v>64</v>
      </c>
      <c r="L109" s="20" t="n">
        <v>12.9</v>
      </c>
      <c r="M109" s="18" t="n">
        <f aca="false">IFERROR(L109*(1-Premissas!$B$5)*(1-Premissas!$B$6)-H109-Premissas!$B$7,"")</f>
        <v>6.01245</v>
      </c>
      <c r="N109" s="21" t="n">
        <f aca="false">IFERROR(M109/L109,"")</f>
        <v>0.466081395348837</v>
      </c>
      <c r="O109" s="18" t="n">
        <f aca="false">IFERROR(L109*(1-Premissas!$B$8)-Premissas!$B$9-H109-Premissas!$B$7,"")</f>
        <v>-1.018</v>
      </c>
      <c r="P109" s="18" t="n">
        <f aca="false">IFERROR(L109*(1-Premissas!$B$10)-Premissas!$B$11-H109-Premissas!$B$7,"")</f>
        <v>0.2</v>
      </c>
      <c r="Q109" s="18" t="n">
        <f aca="false">IFERROR(M109*F109,"")</f>
        <v>90.18675</v>
      </c>
      <c r="R109" s="22" t="n">
        <f aca="false">IFERROR(IF(M109&gt;0,ROUNDUP(Premissas!$B$12/M109,0),"sem lucro"),"")</f>
        <v>167</v>
      </c>
      <c r="S109" s="15" t="s">
        <v>82</v>
      </c>
      <c r="T109" s="23" t="s">
        <v>76</v>
      </c>
      <c r="U109" s="15" t="s">
        <v>383</v>
      </c>
      <c r="V109" s="18" t="n">
        <f aca="false">IF(AND(T109="S",ISNUMBER(L109),ISNUMBER(F109)),L109*F109*X109,0)</f>
        <v>0</v>
      </c>
      <c r="W109" s="18" t="n">
        <f aca="false">IF(AND(T109="S",ISNUMBER(Q109)),Q109*X109,0)</f>
        <v>0</v>
      </c>
      <c r="X109" s="23" t="n">
        <v>1</v>
      </c>
      <c r="Y109" s="18" t="n">
        <f aca="false">IF(AND(T109="S",ISNUMBER(G109)),G109*X109,0)</f>
        <v>0</v>
      </c>
    </row>
    <row r="110" customFormat="false" ht="26.85" hidden="false" customHeight="false" outlineLevel="0" collapsed="false">
      <c r="A110" s="14" t="s">
        <v>384</v>
      </c>
      <c r="B110" s="15" t="s">
        <v>385</v>
      </c>
      <c r="C110" s="14" t="s">
        <v>386</v>
      </c>
      <c r="D110" s="14" t="s">
        <v>141</v>
      </c>
      <c r="E110" s="14" t="n">
        <v>8</v>
      </c>
      <c r="F110" s="16" t="n">
        <v>1</v>
      </c>
      <c r="G110" s="17" t="n">
        <v>6.8</v>
      </c>
      <c r="H110" s="18" t="n">
        <f aca="false">IF(ISNUMBER(G110),IFERROR(G110/F110,""),"")</f>
        <v>6.8</v>
      </c>
      <c r="I110" s="17" t="n">
        <v>19.9</v>
      </c>
      <c r="J110" s="17" t="n">
        <v>24.9</v>
      </c>
      <c r="K110" s="19" t="s">
        <v>64</v>
      </c>
      <c r="L110" s="20" t="n">
        <v>22.9</v>
      </c>
      <c r="M110" s="18" t="n">
        <f aca="false">IFERROR(L110*(1-Premissas!$B$5)*(1-Premissas!$B$6)-H110-Premissas!$B$7,"")</f>
        <v>13.73745</v>
      </c>
      <c r="N110" s="21" t="n">
        <f aca="false">IFERROR(M110/L110,"")</f>
        <v>0.59988864628821</v>
      </c>
      <c r="O110" s="18" t="n">
        <f aca="false">IFERROR(L110*(1-Premissas!$B$8)-Premissas!$B$9-H110-Premissas!$B$7,"")</f>
        <v>6.102</v>
      </c>
      <c r="P110" s="18" t="n">
        <f aca="false">IFERROR(L110*(1-Premissas!$B$10)-Premissas!$B$11-H110-Premissas!$B$7,"")</f>
        <v>6.52</v>
      </c>
      <c r="Q110" s="18" t="n">
        <f aca="false">IFERROR(M110*F110,"")</f>
        <v>13.73745</v>
      </c>
      <c r="R110" s="22" t="n">
        <f aca="false">IFERROR(IF(M110&gt;0,ROUNDUP(Premissas!$B$12/M110,0),"sem lucro"),"")</f>
        <v>73</v>
      </c>
      <c r="S110" s="15" t="s">
        <v>82</v>
      </c>
      <c r="T110" s="23" t="s">
        <v>76</v>
      </c>
      <c r="U110" s="15" t="s">
        <v>387</v>
      </c>
      <c r="V110" s="18" t="n">
        <f aca="false">IF(AND(T110="S",ISNUMBER(L110),ISNUMBER(F110)),L110*F110*X110,0)</f>
        <v>0</v>
      </c>
      <c r="W110" s="18" t="n">
        <f aca="false">IF(AND(T110="S",ISNUMBER(Q110)),Q110*X110,0)</f>
        <v>0</v>
      </c>
      <c r="X110" s="23" t="n">
        <v>12</v>
      </c>
      <c r="Y110" s="18" t="n">
        <f aca="false">IF(AND(T110="S",ISNUMBER(G110)),G110*X110,0)</f>
        <v>0</v>
      </c>
    </row>
  </sheetData>
  <autoFilter ref="A1:Y110"/>
  <conditionalFormatting sqref="M2:M110">
    <cfRule type="cellIs" priority="2" operator="lessThan" aboveAverage="0" equalAverage="0" bottom="0" percent="0" rank="0" text="" dxfId="67">
      <formula>0</formula>
    </cfRule>
    <cfRule type="colorScale" priority="3">
      <colorScale>
        <cfvo type="min" val="0"/>
        <cfvo type="max" val="0"/>
        <color rgb="FFFFFFFF"/>
        <color rgb="FF63BE7B"/>
      </colorScale>
    </cfRule>
  </conditionalFormatting>
  <conditionalFormatting sqref="O2:O110">
    <cfRule type="cellIs" priority="4" operator="lessThan" aboveAverage="0" equalAverage="0" bottom="0" percent="0" rank="0" text="" dxfId="67">
      <formula>0</formula>
    </cfRule>
  </conditionalFormatting>
  <conditionalFormatting sqref="P2:P110">
    <cfRule type="cellIs" priority="5" operator="lessThan" aboveAverage="0" equalAverage="0" bottom="0" percent="0" rank="0" text="" dxfId="67">
      <formula>0</formula>
    </cfRule>
  </conditionalFormatting>
  <dataValidations count="1">
    <dataValidation allowBlank="true" errorStyle="stop" operator="between" showDropDown="false" showErrorMessage="false" showInputMessage="false" sqref="T2:T110" type="list">
      <formula1>"S,N"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3"/>
  </cols>
  <sheetData>
    <row r="1" customFormat="false" ht="36" hidden="false" customHeight="true" outlineLevel="0" collapsed="false">
      <c r="A1" s="13" t="s">
        <v>388</v>
      </c>
      <c r="B1" s="13" t="s">
        <v>389</v>
      </c>
      <c r="C1" s="13" t="s">
        <v>390</v>
      </c>
      <c r="D1" s="13" t="s">
        <v>391</v>
      </c>
      <c r="E1" s="13" t="s">
        <v>392</v>
      </c>
      <c r="F1" s="13" t="s">
        <v>393</v>
      </c>
      <c r="G1" s="13" t="s">
        <v>394</v>
      </c>
      <c r="H1" s="13" t="s">
        <v>395</v>
      </c>
      <c r="I1" s="13" t="s">
        <v>396</v>
      </c>
      <c r="J1" s="13" t="s">
        <v>397</v>
      </c>
      <c r="K1" s="13" t="s">
        <v>398</v>
      </c>
      <c r="L1" s="13" t="s">
        <v>399</v>
      </c>
    </row>
    <row r="2" customFormat="false" ht="15" hidden="false" customHeight="false" outlineLevel="0" collapsed="false">
      <c r="A2" s="24" t="s">
        <v>400</v>
      </c>
      <c r="B2" s="25" t="s">
        <v>131</v>
      </c>
      <c r="C2" s="25" t="s">
        <v>137</v>
      </c>
      <c r="D2" s="25" t="s">
        <v>135</v>
      </c>
      <c r="E2" s="26"/>
      <c r="F2" s="26"/>
      <c r="G2" s="27" t="n">
        <f aca="false">IFERROR(INDEX(Produtos!$H$2:$H$110,MATCH(B2,Produtos!$A$2:$A$110,0)),0)+IFERROR(INDEX(Produtos!$H$2:$H$110,MATCH(C2,Produtos!$A$2:$A$110,0)),0)+IFERROR(INDEX(Produtos!$H$2:$H$110,MATCH(D2,Produtos!$A$2:$A$110,0)),0)+IFERROR(INDEX(Produtos!$H$2:$H$110,MATCH(E2,Produtos!$A$2:$A$110,0)),0)+IFERROR(INDEX(Produtos!$H$2:$H$110,MATCH(F2,Produtos!$A$2:$A$110,0)),0)</f>
        <v>18.9</v>
      </c>
      <c r="H2" s="28" t="n">
        <v>49.9</v>
      </c>
      <c r="I2" s="27" t="n">
        <f aca="false">H2*(1-Premissas!$B$5)*(1-Premissas!$B$6)-G2-Premissas!$B$7</f>
        <v>27.03095</v>
      </c>
      <c r="J2" s="27" t="n">
        <f aca="false">H2*(1-Premissas!$B$8)-Premissas!$B$9-G2-Premissas!$B$7</f>
        <v>17.762</v>
      </c>
      <c r="K2" s="27" t="n">
        <f aca="false">H2*(1-Premissas!$B$10)-Premissas!$B$11-G2-Premissas!$B$7</f>
        <v>16.02</v>
      </c>
      <c r="L2" s="29" t="n">
        <f aca="false">IF(I2&gt;0,ROUNDUP(Premissas!$B$12/I2,0),"sem lucro")</f>
        <v>37</v>
      </c>
    </row>
    <row r="3" customFormat="false" ht="15" hidden="false" customHeight="false" outlineLevel="0" collapsed="false">
      <c r="A3" s="24" t="s">
        <v>401</v>
      </c>
      <c r="B3" s="25" t="s">
        <v>68</v>
      </c>
      <c r="C3" s="25" t="s">
        <v>83</v>
      </c>
      <c r="D3" s="25" t="s">
        <v>85</v>
      </c>
      <c r="E3" s="25" t="s">
        <v>172</v>
      </c>
      <c r="F3" s="26"/>
      <c r="G3" s="27" t="n">
        <f aca="false">IFERROR(INDEX(Produtos!$H$2:$H$110,MATCH(B3,Produtos!$A$2:$A$110,0)),0)+IFERROR(INDEX(Produtos!$H$2:$H$110,MATCH(C3,Produtos!$A$2:$A$110,0)),0)+IFERROR(INDEX(Produtos!$H$2:$H$110,MATCH(D3,Produtos!$A$2:$A$110,0)),0)+IFERROR(INDEX(Produtos!$H$2:$H$110,MATCH(E3,Produtos!$A$2:$A$110,0)),0)+IFERROR(INDEX(Produtos!$H$2:$H$110,MATCH(F3,Produtos!$A$2:$A$110,0)),0)</f>
        <v>23.5958333333333</v>
      </c>
      <c r="H3" s="28" t="n">
        <v>49.9</v>
      </c>
      <c r="I3" s="27" t="n">
        <f aca="false">H3*(1-Premissas!$B$5)*(1-Premissas!$B$6)-G3-Premissas!$B$7</f>
        <v>22.3351166666667</v>
      </c>
      <c r="J3" s="27" t="n">
        <f aca="false">H3*(1-Premissas!$B$8)-Premissas!$B$9-G3-Premissas!$B$7</f>
        <v>13.0661666666667</v>
      </c>
      <c r="K3" s="27" t="n">
        <f aca="false">H3*(1-Premissas!$B$10)-Premissas!$B$11-G3-Premissas!$B$7</f>
        <v>11.3241666666667</v>
      </c>
      <c r="L3" s="29" t="n">
        <f aca="false">IF(I3&gt;0,ROUNDUP(Premissas!$B$12/I3,0),"sem lucro")</f>
        <v>45</v>
      </c>
    </row>
    <row r="4" customFormat="false" ht="15" hidden="false" customHeight="false" outlineLevel="0" collapsed="false">
      <c r="A4" s="24" t="s">
        <v>402</v>
      </c>
      <c r="B4" s="25" t="s">
        <v>90</v>
      </c>
      <c r="C4" s="25" t="s">
        <v>94</v>
      </c>
      <c r="D4" s="25" t="s">
        <v>98</v>
      </c>
      <c r="E4" s="26"/>
      <c r="F4" s="26"/>
      <c r="G4" s="27" t="n">
        <f aca="false">IFERROR(INDEX(Produtos!$H$2:$H$110,MATCH(B4,Produtos!$A$2:$A$110,0)),0)+IFERROR(INDEX(Produtos!$H$2:$H$110,MATCH(C4,Produtos!$A$2:$A$110,0)),0)+IFERROR(INDEX(Produtos!$H$2:$H$110,MATCH(D4,Produtos!$A$2:$A$110,0)),0)+IFERROR(INDEX(Produtos!$H$2:$H$110,MATCH(E4,Produtos!$A$2:$A$110,0)),0)+IFERROR(INDEX(Produtos!$H$2:$H$110,MATCH(F4,Produtos!$A$2:$A$110,0)),0)</f>
        <v>17.1</v>
      </c>
      <c r="H4" s="28" t="n">
        <v>39.9</v>
      </c>
      <c r="I4" s="27" t="n">
        <f aca="false">H4*(1-Premissas!$B$5)*(1-Premissas!$B$6)-G4-Premissas!$B$7</f>
        <v>19.42595</v>
      </c>
      <c r="J4" s="27" t="n">
        <f aca="false">H4*(1-Premissas!$B$8)-Premissas!$B$9-G4-Premissas!$B$7</f>
        <v>10.762</v>
      </c>
      <c r="K4" s="27" t="n">
        <f aca="false">H4*(1-Premissas!$B$10)-Premissas!$B$11-G4-Premissas!$B$7</f>
        <v>9.82</v>
      </c>
      <c r="L4" s="29" t="n">
        <f aca="false">IF(I4&gt;0,ROUNDUP(Premissas!$B$12/I4,0),"sem lucro")</f>
        <v>52</v>
      </c>
    </row>
    <row r="5" customFormat="false" ht="15" hidden="false" customHeight="false" outlineLevel="0" collapsed="false">
      <c r="A5" s="24" t="s">
        <v>403</v>
      </c>
      <c r="B5" s="25" t="s">
        <v>127</v>
      </c>
      <c r="C5" s="25" t="s">
        <v>127</v>
      </c>
      <c r="D5" s="25" t="s">
        <v>127</v>
      </c>
      <c r="E5" s="25" t="s">
        <v>372</v>
      </c>
      <c r="F5" s="25" t="s">
        <v>154</v>
      </c>
      <c r="G5" s="27" t="n">
        <f aca="false">IFERROR(INDEX(Produtos!$H$2:$H$110,MATCH(B5,Produtos!$A$2:$A$110,0)),0)+IFERROR(INDEX(Produtos!$H$2:$H$110,MATCH(C5,Produtos!$A$2:$A$110,0)),0)+IFERROR(INDEX(Produtos!$H$2:$H$110,MATCH(D5,Produtos!$A$2:$A$110,0)),0)+IFERROR(INDEX(Produtos!$H$2:$H$110,MATCH(E5,Produtos!$A$2:$A$110,0)),0)+IFERROR(INDEX(Produtos!$H$2:$H$110,MATCH(F5,Produtos!$A$2:$A$110,0)),0)</f>
        <v>21.1108333333333</v>
      </c>
      <c r="H5" s="28" t="n">
        <v>44.9</v>
      </c>
      <c r="I5" s="27" t="n">
        <f aca="false">H5*(1-Premissas!$B$5)*(1-Premissas!$B$6)-G5-Premissas!$B$7</f>
        <v>20.1176166666667</v>
      </c>
      <c r="J5" s="27" t="n">
        <f aca="false">H5*(1-Premissas!$B$8)-Premissas!$B$9-G5-Premissas!$B$7</f>
        <v>11.1511666666667</v>
      </c>
      <c r="K5" s="27" t="n">
        <f aca="false">H5*(1-Premissas!$B$10)-Premissas!$B$11-G5-Premissas!$B$7</f>
        <v>9.80916666666667</v>
      </c>
      <c r="L5" s="29" t="n">
        <f aca="false">IF(I5&gt;0,ROUNDUP(Premissas!$B$12/I5,0),"sem lucro")</f>
        <v>50</v>
      </c>
    </row>
    <row r="6" customFormat="false" ht="15" hidden="false" customHeight="false" outlineLevel="0" collapsed="false">
      <c r="A6" s="24" t="s">
        <v>404</v>
      </c>
      <c r="B6" s="25" t="s">
        <v>176</v>
      </c>
      <c r="C6" s="25" t="s">
        <v>180</v>
      </c>
      <c r="D6" s="25" t="s">
        <v>154</v>
      </c>
      <c r="E6" s="26"/>
      <c r="F6" s="26"/>
      <c r="G6" s="27" t="n">
        <f aca="false">IFERROR(INDEX(Produtos!$H$2:$H$110,MATCH(B6,Produtos!$A$2:$A$110,0)),0)+IFERROR(INDEX(Produtos!$H$2:$H$110,MATCH(C6,Produtos!$A$2:$A$110,0)),0)+IFERROR(INDEX(Produtos!$H$2:$H$110,MATCH(D6,Produtos!$A$2:$A$110,0)),0)+IFERROR(INDEX(Produtos!$H$2:$H$110,MATCH(E6,Produtos!$A$2:$A$110,0)),0)+IFERROR(INDEX(Produtos!$H$2:$H$110,MATCH(F6,Produtos!$A$2:$A$110,0)),0)</f>
        <v>16.65</v>
      </c>
      <c r="H6" s="28" t="n">
        <v>34.9</v>
      </c>
      <c r="I6" s="27" t="n">
        <f aca="false">H6*(1-Premissas!$B$5)*(1-Premissas!$B$6)-G6-Premissas!$B$7</f>
        <v>15.17345</v>
      </c>
      <c r="J6" s="27" t="n">
        <f aca="false">H6*(1-Premissas!$B$8)-Premissas!$B$9-G6-Premissas!$B$7</f>
        <v>6.812</v>
      </c>
      <c r="K6" s="27" t="n">
        <f aca="false">H6*(1-Premissas!$B$10)-Premissas!$B$11-G6-Premissas!$B$7</f>
        <v>6.27</v>
      </c>
      <c r="L6" s="29" t="n">
        <f aca="false">IF(I6&gt;0,ROUNDUP(Premissas!$B$12/I6,0),"sem lucro")</f>
        <v>66</v>
      </c>
    </row>
    <row r="7" customFormat="false" ht="15" hidden="false" customHeight="false" outlineLevel="0" collapsed="false">
      <c r="A7" s="24" t="s">
        <v>405</v>
      </c>
      <c r="B7" s="25" t="s">
        <v>146</v>
      </c>
      <c r="C7" s="25" t="s">
        <v>149</v>
      </c>
      <c r="D7" s="25" t="s">
        <v>143</v>
      </c>
      <c r="E7" s="26"/>
      <c r="F7" s="26"/>
      <c r="G7" s="27" t="n">
        <f aca="false">IFERROR(INDEX(Produtos!$H$2:$H$110,MATCH(B7,Produtos!$A$2:$A$110,0)),0)+IFERROR(INDEX(Produtos!$H$2:$H$110,MATCH(C7,Produtos!$A$2:$A$110,0)),0)+IFERROR(INDEX(Produtos!$H$2:$H$110,MATCH(D7,Produtos!$A$2:$A$110,0)),0)+IFERROR(INDEX(Produtos!$H$2:$H$110,MATCH(E7,Produtos!$A$2:$A$110,0)),0)+IFERROR(INDEX(Produtos!$H$2:$H$110,MATCH(F7,Produtos!$A$2:$A$110,0)),0)</f>
        <v>17.0166666666667</v>
      </c>
      <c r="H7" s="28" t="n">
        <v>34.9</v>
      </c>
      <c r="I7" s="27" t="n">
        <f aca="false">H7*(1-Premissas!$B$5)*(1-Premissas!$B$6)-G7-Premissas!$B$7</f>
        <v>14.8067833333333</v>
      </c>
      <c r="J7" s="27" t="n">
        <f aca="false">H7*(1-Premissas!$B$8)-Premissas!$B$9-G7-Premissas!$B$7</f>
        <v>6.44533333333333</v>
      </c>
      <c r="K7" s="27" t="n">
        <f aca="false">H7*(1-Premissas!$B$10)-Premissas!$B$11-G7-Premissas!$B$7</f>
        <v>5.90333333333334</v>
      </c>
      <c r="L7" s="29" t="n">
        <f aca="false">IF(I7&gt;0,ROUNDUP(Premissas!$B$12/I7,0),"sem lucro")</f>
        <v>68</v>
      </c>
    </row>
    <row r="8" customFormat="false" ht="15" hidden="false" customHeight="false" outlineLevel="0" collapsed="false">
      <c r="A8" s="24" t="s">
        <v>406</v>
      </c>
      <c r="B8" s="25" t="s">
        <v>221</v>
      </c>
      <c r="C8" s="25" t="s">
        <v>229</v>
      </c>
      <c r="D8" s="26"/>
      <c r="E8" s="26"/>
      <c r="F8" s="26"/>
      <c r="G8" s="27" t="n">
        <f aca="false">IFERROR(INDEX(Produtos!$H$2:$H$110,MATCH(B8,Produtos!$A$2:$A$110,0)),0)+IFERROR(INDEX(Produtos!$H$2:$H$110,MATCH(C8,Produtos!$A$2:$A$110,0)),0)+IFERROR(INDEX(Produtos!$H$2:$H$110,MATCH(D8,Produtos!$A$2:$A$110,0)),0)+IFERROR(INDEX(Produtos!$H$2:$H$110,MATCH(E8,Produtos!$A$2:$A$110,0)),0)+IFERROR(INDEX(Produtos!$H$2:$H$110,MATCH(F8,Produtos!$A$2:$A$110,0)),0)</f>
        <v>13.4</v>
      </c>
      <c r="H8" s="28" t="n">
        <v>44.9</v>
      </c>
      <c r="I8" s="27" t="n">
        <f aca="false">H8*(1-Premissas!$B$5)*(1-Premissas!$B$6)-G8-Premissas!$B$7</f>
        <v>27.82845</v>
      </c>
      <c r="J8" s="27" t="n">
        <f aca="false">H8*(1-Premissas!$B$8)-Premissas!$B$9-G8-Premissas!$B$7</f>
        <v>18.862</v>
      </c>
      <c r="K8" s="27" t="n">
        <f aca="false">H8*(1-Premissas!$B$10)-Premissas!$B$11-G8-Premissas!$B$7</f>
        <v>17.52</v>
      </c>
      <c r="L8" s="29" t="n">
        <f aca="false">IF(I8&gt;0,ROUNDUP(Premissas!$B$12/I8,0),"sem lucro")</f>
        <v>36</v>
      </c>
    </row>
    <row r="9" customFormat="false" ht="15" hidden="false" customHeight="false" outlineLevel="0" collapsed="false">
      <c r="A9" s="24" t="s">
        <v>407</v>
      </c>
      <c r="B9" s="25" t="s">
        <v>226</v>
      </c>
      <c r="C9" s="25" t="s">
        <v>226</v>
      </c>
      <c r="D9" s="26"/>
      <c r="E9" s="26"/>
      <c r="F9" s="26"/>
      <c r="G9" s="27" t="n">
        <f aca="false">IFERROR(INDEX(Produtos!$H$2:$H$110,MATCH(B9,Produtos!$A$2:$A$110,0)),0)+IFERROR(INDEX(Produtos!$H$2:$H$110,MATCH(C9,Produtos!$A$2:$A$110,0)),0)+IFERROR(INDEX(Produtos!$H$2:$H$110,MATCH(D9,Produtos!$A$2:$A$110,0)),0)+IFERROR(INDEX(Produtos!$H$2:$H$110,MATCH(E9,Produtos!$A$2:$A$110,0)),0)+IFERROR(INDEX(Produtos!$H$2:$H$110,MATCH(F9,Produtos!$A$2:$A$110,0)),0)</f>
        <v>13.6</v>
      </c>
      <c r="H9" s="28" t="n">
        <v>44.9</v>
      </c>
      <c r="I9" s="27" t="n">
        <f aca="false">H9*(1-Premissas!$B$5)*(1-Premissas!$B$6)-G9-Premissas!$B$7</f>
        <v>27.62845</v>
      </c>
      <c r="J9" s="27" t="n">
        <f aca="false">H9*(1-Premissas!$B$8)-Premissas!$B$9-G9-Premissas!$B$7</f>
        <v>18.662</v>
      </c>
      <c r="K9" s="27" t="n">
        <f aca="false">H9*(1-Premissas!$B$10)-Premissas!$B$11-G9-Premissas!$B$7</f>
        <v>17.32</v>
      </c>
      <c r="L9" s="29" t="n">
        <f aca="false">IF(I9&gt;0,ROUNDUP(Premissas!$B$12/I9,0),"sem lucro")</f>
        <v>37</v>
      </c>
    </row>
    <row r="10" customFormat="false" ht="15" hidden="false" customHeight="false" outlineLevel="0" collapsed="false">
      <c r="A10" s="24" t="s">
        <v>408</v>
      </c>
      <c r="B10" s="25" t="s">
        <v>282</v>
      </c>
      <c r="C10" s="25" t="s">
        <v>275</v>
      </c>
      <c r="D10" s="25" t="s">
        <v>268</v>
      </c>
      <c r="E10" s="25" t="s">
        <v>241</v>
      </c>
      <c r="F10" s="26"/>
      <c r="G10" s="27" t="n">
        <f aca="false">IFERROR(INDEX(Produtos!$H$2:$H$110,MATCH(B10,Produtos!$A$2:$A$110,0)),0)+IFERROR(INDEX(Produtos!$H$2:$H$110,MATCH(C10,Produtos!$A$2:$A$110,0)),0)+IFERROR(INDEX(Produtos!$H$2:$H$110,MATCH(D10,Produtos!$A$2:$A$110,0)),0)+IFERROR(INDEX(Produtos!$H$2:$H$110,MATCH(E10,Produtos!$A$2:$A$110,0)),0)+IFERROR(INDEX(Produtos!$H$2:$H$110,MATCH(F10,Produtos!$A$2:$A$110,0)),0)</f>
        <v>22.533125</v>
      </c>
      <c r="H10" s="28" t="n">
        <v>59.9</v>
      </c>
      <c r="I10" s="27" t="n">
        <f aca="false">H10*(1-Premissas!$B$5)*(1-Premissas!$B$6)-G10-Premissas!$B$7</f>
        <v>32.802825</v>
      </c>
      <c r="J10" s="27" t="n">
        <f aca="false">H10*(1-Premissas!$B$8)-Premissas!$B$9-G10-Premissas!$B$7</f>
        <v>22.928875</v>
      </c>
      <c r="K10" s="27" t="n">
        <f aca="false">H10*(1-Premissas!$B$10)-Premissas!$B$11-G10-Premissas!$B$7</f>
        <v>20.386875</v>
      </c>
      <c r="L10" s="29" t="n">
        <f aca="false">IF(I10&gt;0,ROUNDUP(Premissas!$B$12/I10,0),"sem lucro")</f>
        <v>31</v>
      </c>
    </row>
    <row r="11" customFormat="false" ht="15" hidden="false" customHeight="false" outlineLevel="0" collapsed="false">
      <c r="A11" s="24" t="s">
        <v>409</v>
      </c>
      <c r="B11" s="25" t="s">
        <v>329</v>
      </c>
      <c r="C11" s="25" t="s">
        <v>268</v>
      </c>
      <c r="D11" s="25" t="s">
        <v>337</v>
      </c>
      <c r="E11" s="25" t="s">
        <v>241</v>
      </c>
      <c r="F11" s="26"/>
      <c r="G11" s="27" t="n">
        <f aca="false">IFERROR(INDEX(Produtos!$H$2:$H$110,MATCH(B11,Produtos!$A$2:$A$110,0)),0)+IFERROR(INDEX(Produtos!$H$2:$H$110,MATCH(C11,Produtos!$A$2:$A$110,0)),0)+IFERROR(INDEX(Produtos!$H$2:$H$110,MATCH(D11,Produtos!$A$2:$A$110,0)),0)+IFERROR(INDEX(Produtos!$H$2:$H$110,MATCH(E11,Produtos!$A$2:$A$110,0)),0)+IFERROR(INDEX(Produtos!$H$2:$H$110,MATCH(F11,Produtos!$A$2:$A$110,0)),0)</f>
        <v>15.4639583333333</v>
      </c>
      <c r="H11" s="28" t="n">
        <v>49.9</v>
      </c>
      <c r="I11" s="27" t="n">
        <f aca="false">H11*(1-Premissas!$B$5)*(1-Premissas!$B$6)-G11-Premissas!$B$7</f>
        <v>30.4669916666667</v>
      </c>
      <c r="J11" s="27" t="n">
        <f aca="false">H11*(1-Premissas!$B$8)-Premissas!$B$9-G11-Premissas!$B$7</f>
        <v>21.1980416666667</v>
      </c>
      <c r="K11" s="27" t="n">
        <f aca="false">H11*(1-Premissas!$B$10)-Premissas!$B$11-G11-Premissas!$B$7</f>
        <v>19.4560416666667</v>
      </c>
      <c r="L11" s="29" t="n">
        <f aca="false">IF(I11&gt;0,ROUNDUP(Premissas!$B$12/I11,0),"sem lucro")</f>
        <v>33</v>
      </c>
    </row>
    <row r="13" customFormat="false" ht="15" hidden="false" customHeight="false" outlineLevel="0" collapsed="false">
      <c r="A13" s="2" t="s">
        <v>410</v>
      </c>
    </row>
  </sheetData>
  <conditionalFormatting sqref="I2:K11">
    <cfRule type="colorScale" priority="2">
      <colorScale>
        <cfvo type="min" val="0"/>
        <cfvo type="max" val="0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2026-09-24T18:19:59Z</dcterms:created>
  <dc:creator>openpyxl</dc:creator>
  <dc:description/>
  <dc:language>en-US</dc:language>
  <cp:lastModifiedBy/>
  <dcterms:modified xsi:type="dcterms:W3CDTF">2026-09-24T18:19:59Z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