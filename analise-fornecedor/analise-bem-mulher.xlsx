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Cor 01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Natural Curling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<sst xmlns="http://schemas.openxmlformats.org/spreadsheetml/2006/main" count="651" uniqueCount="307">
  <si>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</si>
  <si>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</si>
  <si>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</si>
  <si>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</si>
  <si>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</si>
  <si>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</si>
  <si>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</si>
  <si>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</si>
  <si>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</si>
  <si>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</si>
  <si>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</si>
  <si>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</si>
  <si>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</si>
  <si>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</si>
  <si>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</si>
  <si>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</si>
  <si>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</si>
  <si>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</si>
  <si>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</si>
  <si>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</si>
  <si>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</si>
  <si>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</si>
  <si>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</si>
  <si>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</si>
  <si>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</si>
  <si>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</si>
  <si>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</si>
  <si>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</si>
  <si>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</si>
  <si>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</si>
  <si>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</si>
  <si>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</si>
  <si>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</si>
  <si>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</si>
  <si>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</si>
  <si>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</si>
  <si>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</si>
  <si>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</si>
  <si>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</si>
  <si>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</si>
  <si>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</si>
  <si>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</si>
  <si>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</si>
  <si>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</si>
  <si>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</si>
  <si>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</si>
  <si>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</si>
  <si>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</si>
  <si>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</si>
  <si>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</si>
  <si>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</si>
  <si>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</si>
  <si>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</si>
  <si>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</si>
  <si>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</si>
  <si>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</si>
  <si>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</si>
  <si>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</si>
  <si>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</si>
  <si>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</si>
  <si>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</si>
  <si>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</si>
  <si>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</si>
  <si>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</si>
  <si>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</si>
  <si>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</si>
  <si>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</si>
  <si>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</si>
  <si>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</si>
  <si>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</si>
  <si>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</si>
  <si>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</si>
  <si>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</si>
  <si>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</si>
  <si>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</si>
  <si>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</si>
  <si>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</si>
  <si>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</si>
  <si>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</si>
  <si>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</si>
  <si>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</si>
  <si>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</si>
  <si>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</si>
  <si>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</si>
  <si>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</si>
  <si>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</si>
  <si>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</si>
  <si>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</si>
  <si>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</si>
  <si>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</si>
  <si>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</si>
  <si>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</si>
  <si>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</si>
  <si>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</si>
  <si>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</si>
  <si>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</si>
  <si>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</si>
  <si>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</si>
  <si>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</si>
  <si>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</si>
  <si>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</si>
  <si>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</si>
  <si>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</si>
  <si>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</si>
  <si>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</si>
  <si>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</si>
  <si>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</si>
  <si>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</si>
  <si>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</si>
  <si>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</si>
  <si>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</si>
  <si>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</si>
  <si>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</si>
  <si>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</si>
  <si>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</si>
  <si>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</si>
  <si>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</si>
  <si>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</si>
  <si>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</si>
  <si>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</si>
  <si>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</si>
  <si>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</si>
  <si>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</si>
  <si>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</si>
  <si>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</si>
  <si>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</si>
  <si>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Comprar (kit Olhar Poderoso)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</si>
  <si>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</si>
  <si>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</si>
  <si>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</si>
  <si>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</si>
  <si>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</si>
  <si>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</si>
  <si>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</si>
  <si>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</si>
  <si>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</si>
  <si>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</si>
  <si>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</si>
  <si>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</si>
  <si>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</si>
  <si>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</si>
  <si>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</si>
  <si>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</si>
  <si>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</si>
  <si>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</si>
  <si>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</si>
  <si>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</si>
  <si>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</si>
  <si>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</si>
  <si>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</si>
  <si>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</si>
  <si>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</si>
  <si>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</si>
  <si>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</si>
  <si>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</si>
  <si>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</si>
  <si>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</si>
  <si>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</si>
  <si>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</si>
  <si>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</si>
  <si>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</si>
  <si>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</si>
  <si>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</si>
  <si>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</si>
  <si>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</si>
  <si>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</si>
  <si>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</si>
  <si>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</si>
  <si>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</si>
  <si>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</si>
  <si>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</si>
  <si>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</si>
  <si>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</si>
  <si>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</si>
  <si>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</si>
  <si>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</si>
  <si>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</si>
  <si>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</si>
  <si>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</si>
  <si>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</si>
  <si>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</si>
  <si>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</si>
  <si>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</si>
  <si>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</si>
  <si>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</si>
  <si>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</si>
  <si>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</si>
  <si>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</si>
  <si>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</si>
  <si>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</si>
  <si>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</si>
  <si>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</si>
  <si>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</si>
  <si>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</si>
  <si>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</si>
  <si>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</si>
  <si>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</si>
  <si>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</si>
  <si>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</si>
  <si>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</si>
  <si>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</si>
  <si>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</si>
  <si>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</si>
  <si>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</si>
  <si>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</si>
  <si>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</si>
  <si>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</si>
  <si>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</si>
  <si>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</si>
  <si>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</si>
  <si>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</si>
  <si>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</si>
  <si>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</si>
  <si>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</si>
  <si>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</si>
  <si>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</si>
  <si>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</si>
  <si>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</si>
  <si>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</si>
  <si>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</si>
  <si>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</si>
  <si>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</si>
  <si>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</si>
  <si>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</si>
  <si>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</si>
  <si>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</si>
  <si>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</si>
  <si>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</si>
  <si>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</si>
  <si>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</si>
  <si>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</si>
  <si>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</si>
  <si>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</si>
  <si>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</si>
  <si>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</si>
  <si>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</si>
  <si>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</si>
  <si>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</si>
  <si>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</si>
  <si>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</si>
  <si>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</si>
  <si>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</si>
  <si>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</si>
  <si>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</si>
  <si>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</si>
  <si>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</si>
  <si>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</si>
  <si>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</si>
  <si>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</si>
  <si>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</si>
  <si>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</si>
  <si>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</si>
  <si>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</si>
  <si>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</si>
  <si>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</si>
  <si>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</si>
  <si>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</si>
  <si>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</si>
  <si>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</si>
  <si>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</si>
  <si>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</si>
  <si>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</si>
  <si>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</si>
  <si>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</si>
  <si>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</si>
  <si>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</si>
  <si>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</si>
  <si>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</si>
  <si>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</si>
  <si>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</si>
  <si>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</si>
  <si>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</si>
  <si>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</si>
  <si>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</si>
  <si>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</si>
  <si>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</si>
  <si>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</si>
  <si>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</si>
  <si>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</si>
  <si>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</si>
  <si>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</si>
  <si>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</si>
  <si>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</si>
  <si>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Cor 01</t>
  </si>
  <si>
    <t xml:space="preserve">9 cores. Outras paletas Pink 21 de R$ 11,99 a R$ 45,90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</si>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</sst>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1D8B0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2E6CC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COUNTA(Produtos!A2:A73)</f>
        <v>72</v>
      </c>
    </row>
    <row r="6" customFormat="false" ht="15" hidden="false" customHeight="false" outlineLevel="0" collapsed="false">
      <c r="A6" s="4" t="s">
        <v>5</v>
      </c>
      <c r="B6" s="5" t="n">
        <f aca="false">COUNTIF(Produtos!T2:T73,"S")</f>
        <v>33</v>
      </c>
    </row>
    <row r="7" customFormat="false" ht="15" hidden="false" customHeight="false" outlineLevel="0" collapsed="false">
      <c r="A7" s="6" t="s">
        <v>6</v>
      </c>
      <c r="B7" s="7" t="n">
        <f aca="false">SUM(Produtos!Y2:Y73)</f>
        <v>3601.08</v>
      </c>
    </row>
    <row r="8" customFormat="false" ht="15" hidden="false" customHeight="false" outlineLevel="0" collapsed="false">
      <c r="A8" s="4" t="s">
        <v>7</v>
      </c>
      <c r="B8" s="5" t="n">
        <f aca="false">SUMPRODUCT((Produtos!T2:T73="S")*Produtos!F2:F73*Produtos!X2:X73)</f>
        <v>625</v>
      </c>
    </row>
    <row r="9" customFormat="false" ht="15" hidden="false" customHeight="false" outlineLevel="0" collapsed="false">
      <c r="A9" s="4" t="s">
        <v>8</v>
      </c>
      <c r="B9" s="7" t="n">
        <f aca="false">SUM(Produtos!V2:V73)</f>
        <v>9457.5</v>
      </c>
    </row>
    <row r="10" customFormat="false" ht="15" hidden="false" customHeight="false" outlineLevel="0" collapsed="false">
      <c r="A10" s="6" t="s">
        <v>9</v>
      </c>
      <c r="B10" s="7" t="n">
        <f aca="false">SUM(Produtos!W2:W73)</f>
        <v>4668.69875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1.29647182234219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66</v>
      </c>
      <c r="U22" s="15"/>
      <c r="V22" s="18" t="n">
        <f aca="false">IF(AND(T22="S",ISNUMBER(L22),ISNUMBER(F22)),L22*F22*X22,0)</f>
        <v>309.6</v>
      </c>
      <c r="W22" s="18" t="n">
        <f aca="false">IF(AND(T22="S",ISNUMBER(Q22)),Q22*X22,0)</f>
        <v>106.7788</v>
      </c>
      <c r="X22" s="23" t="n">
        <v>1</v>
      </c>
      <c r="Y22" s="18" t="n">
        <f aca="false">IF(AND(T22="S",ISNUMBER(G22)),G22*X22,0)</f>
        <v>160.4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1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</sheetData>
  <autoFilter ref="A1:Y73"/>
  <conditionalFormatting sqref="M2:M73">
    <cfRule type="cellIs" priority="2" operator="lessThan" aboveAverage="0" equalAverage="0" bottom="0" percent="0" rank="0" text="" dxfId="51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73">
    <cfRule type="cellIs" priority="4" operator="lessThan" aboveAverage="0" equalAverage="0" bottom="0" percent="0" rank="0" text="" dxfId="51">
      <formula>0</formula>
    </cfRule>
  </conditionalFormatting>
  <conditionalFormatting sqref="P2:P73">
    <cfRule type="cellIs" priority="5" operator="lessThan" aboveAverage="0" equalAverage="0" bottom="0" percent="0" rank="0" text="" dxfId="51">
      <formula>0</formula>
    </cfRule>
  </conditionalFormatting>
  <dataValidations count="1">
    <dataValidation allowBlank="true" errorStyle="stop" operator="between" showDropDown="false" showErrorMessage="false" showInputMessage="false" sqref="T2:T73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285</v>
      </c>
      <c r="B1" s="13" t="s">
        <v>286</v>
      </c>
      <c r="C1" s="13" t="s">
        <v>287</v>
      </c>
      <c r="D1" s="13" t="s">
        <v>288</v>
      </c>
      <c r="E1" s="13" t="s">
        <v>289</v>
      </c>
      <c r="F1" s="13" t="s">
        <v>290</v>
      </c>
      <c r="G1" s="13" t="s">
        <v>291</v>
      </c>
      <c r="H1" s="13" t="s">
        <v>292</v>
      </c>
      <c r="I1" s="13" t="s">
        <v>293</v>
      </c>
      <c r="J1" s="13" t="s">
        <v>294</v>
      </c>
      <c r="K1" s="13" t="s">
        <v>295</v>
      </c>
      <c r="L1" s="13" t="s">
        <v>296</v>
      </c>
    </row>
    <row r="2" customFormat="false" ht="15" hidden="false" customHeight="false" outlineLevel="0" collapsed="false">
      <c r="A2" s="24" t="s">
        <v>297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$73,MATCH(B2,Produtos!$A$2:$A$73,0)),0)+IFERROR(INDEX(Produtos!$H$2:$H$73,MATCH(C2,Produtos!$A$2:$A$73,0)),0)+IFERROR(INDEX(Produtos!$H$2:$H$73,MATCH(D2,Produtos!$A$2:$A$73,0)),0)+IFERROR(INDEX(Produtos!$H$2:$H$73,MATCH(E2,Produtos!$A$2:$A$73,0)),0)+IFERROR(INDEX(Produtos!$H$2:$H$73,MATCH(F2,Produtos!$A$2:$A$73,0)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298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$73,MATCH(B3,Produtos!$A$2:$A$73,0)),0)+IFERROR(INDEX(Produtos!$H$2:$H$73,MATCH(C3,Produtos!$A$2:$A$73,0)),0)+IFERROR(INDEX(Produtos!$H$2:$H$73,MATCH(D3,Produtos!$A$2:$A$73,0)),0)+IFERROR(INDEX(Produtos!$H$2:$H$73,MATCH(E3,Produtos!$A$2:$A$73,0)),0)+IFERROR(INDEX(Produtos!$H$2:$H$73,MATCH(F3,Produtos!$A$2:$A$73,0)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299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$73,MATCH(B4,Produtos!$A$2:$A$73,0)),0)+IFERROR(INDEX(Produtos!$H$2:$H$73,MATCH(C4,Produtos!$A$2:$A$73,0)),0)+IFERROR(INDEX(Produtos!$H$2:$H$73,MATCH(D4,Produtos!$A$2:$A$73,0)),0)+IFERROR(INDEX(Produtos!$H$2:$H$73,MATCH(E4,Produtos!$A$2:$A$73,0)),0)+IFERROR(INDEX(Produtos!$H$2:$H$73,MATCH(F4,Produtos!$A$2:$A$73,0)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300</v>
      </c>
      <c r="B5" s="25" t="s">
        <v>127</v>
      </c>
      <c r="C5" s="25" t="s">
        <v>127</v>
      </c>
      <c r="D5" s="25" t="s">
        <v>127</v>
      </c>
      <c r="E5" s="25" t="s">
        <v>123</v>
      </c>
      <c r="F5" s="25" t="s">
        <v>154</v>
      </c>
      <c r="G5" s="27" t="n">
        <f aca="false">IFERROR(INDEX(Produtos!$H$2:$H$73,MATCH(B5,Produtos!$A$2:$A$73,0)),0)+IFERROR(INDEX(Produtos!$H$2:$H$73,MATCH(C5,Produtos!$A$2:$A$73,0)),0)+IFERROR(INDEX(Produtos!$H$2:$H$73,MATCH(D5,Produtos!$A$2:$A$73,0)),0)+IFERROR(INDEX(Produtos!$H$2:$H$73,MATCH(E5,Produtos!$A$2:$A$73,0)),0)+IFERROR(INDEX(Produtos!$H$2:$H$73,MATCH(F5,Produtos!$A$2:$A$73,0)),0)</f>
        <v>22.64</v>
      </c>
      <c r="H5" s="28" t="n">
        <v>44.9</v>
      </c>
      <c r="I5" s="27" t="n">
        <f aca="false">H5*(1-Premissas!$B$5)*(1-Premissas!$B$6)-G5-Premissas!$B$7</f>
        <v>18.58845</v>
      </c>
      <c r="J5" s="27" t="n">
        <f aca="false">H5*(1-Premissas!$B$8)-Premissas!$B$9-G5-Premissas!$B$7</f>
        <v>9.622</v>
      </c>
      <c r="K5" s="27" t="n">
        <f aca="false">H5*(1-Premissas!$B$10)-Premissas!$B$11-G5-Premissas!$B$7</f>
        <v>8.28</v>
      </c>
      <c r="L5" s="29" t="n">
        <f aca="false">IF(I5&gt;0,ROUNDUP(Premissas!$B$12/I5,0),"sem lucro")</f>
        <v>54</v>
      </c>
    </row>
    <row r="6" customFormat="false" ht="15" hidden="false" customHeight="false" outlineLevel="0" collapsed="false">
      <c r="A6" s="24" t="s">
        <v>301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$73,MATCH(B6,Produtos!$A$2:$A$73,0)),0)+IFERROR(INDEX(Produtos!$H$2:$H$73,MATCH(C6,Produtos!$A$2:$A$73,0)),0)+IFERROR(INDEX(Produtos!$H$2:$H$73,MATCH(D6,Produtos!$A$2:$A$73,0)),0)+IFERROR(INDEX(Produtos!$H$2:$H$73,MATCH(E6,Produtos!$A$2:$A$73,0)),0)+IFERROR(INDEX(Produtos!$H$2:$H$73,MATCH(F6,Produtos!$A$2:$A$73,0)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302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$73,MATCH(B7,Produtos!$A$2:$A$73,0)),0)+IFERROR(INDEX(Produtos!$H$2:$H$73,MATCH(C7,Produtos!$A$2:$A$73,0)),0)+IFERROR(INDEX(Produtos!$H$2:$H$73,MATCH(D7,Produtos!$A$2:$A$73,0)),0)+IFERROR(INDEX(Produtos!$H$2:$H$73,MATCH(E7,Produtos!$A$2:$A$73,0)),0)+IFERROR(INDEX(Produtos!$H$2:$H$73,MATCH(F7,Produtos!$A$2:$A$73,0)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303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$73,MATCH(B8,Produtos!$A$2:$A$73,0)),0)+IFERROR(INDEX(Produtos!$H$2:$H$73,MATCH(C8,Produtos!$A$2:$A$73,0)),0)+IFERROR(INDEX(Produtos!$H$2:$H$73,MATCH(D8,Produtos!$A$2:$A$73,0)),0)+IFERROR(INDEX(Produtos!$H$2:$H$73,MATCH(E8,Produtos!$A$2:$A$73,0)),0)+IFERROR(INDEX(Produtos!$H$2:$H$73,MATCH(F8,Produtos!$A$2:$A$73,0)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304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$73,MATCH(B9,Produtos!$A$2:$A$73,0)),0)+IFERROR(INDEX(Produtos!$H$2:$H$73,MATCH(C9,Produtos!$A$2:$A$73,0)),0)+IFERROR(INDEX(Produtos!$H$2:$H$73,MATCH(D9,Produtos!$A$2:$A$73,0)),0)+IFERROR(INDEX(Produtos!$H$2:$H$73,MATCH(E9,Produtos!$A$2:$A$73,0)),0)+IFERROR(INDEX(Produtos!$H$2:$H$73,MATCH(F9,Produtos!$A$2:$A$73,0)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305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$73,MATCH(B10,Produtos!$A$2:$A$73,0)),0)+IFERROR(INDEX(Produtos!$H$2:$H$73,MATCH(C10,Produtos!$A$2:$A$73,0)),0)+IFERROR(INDEX(Produtos!$H$2:$H$73,MATCH(D10,Produtos!$A$2:$A$73,0)),0)+IFERROR(INDEX(Produtos!$H$2:$H$73,MATCH(E10,Produtos!$A$2:$A$73,0)),0)+IFERROR(INDEX(Produtos!$H$2:$H$73,MATCH(F10,Produtos!$A$2:$A$73,0)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2" customFormat="false" ht="15" hidden="false" customHeight="false" outlineLevel="0" collapsed="false">
      <c r="A12" s="2" t="s">
        <v>306</v>
      </c>
    </row>
  </sheetData>
  <conditionalFormatting sqref="I2:K10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2026-09-24T18:16:36Z</dcterms:created>
  <dc:creator>openpyxl</dc:creator>
  <dc:description/>
  <dc:language>en-US</dc:language>
  <cp:lastModifiedBy/>
  <dcterms:modified xsi:type="dcterms:W3CDTF">2026-09-24T18:16:36Z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