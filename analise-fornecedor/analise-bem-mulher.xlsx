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</sheets>
  <definedNames>
    <definedName function="false" hidden="true" localSheetId="2" name="_xlnm._FilterDatabase" vbProcedure="false">Produtos!$A$1:$Y$55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  <comment ref="X1" authorId="0">
      <text>
        <r>
          <rPr>
            <sz val="10"/>
            <rFont val="Arial"/>
            <family val="2"/>
          </rPr>
          <t xml:space="preserve">Caixas (quando o produto vem em caixa) ou unidades (produto avulso). Padrão: 1 caixa ou 12 unidades.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B8" authorId="0">
      <text>
        <r>
          <rPr>
            <sz val="10"/>
            <rFont val="Arial"/>
            <family val="2"/>
          </rPr>
          <t xml:space="preserve">Body Splash 120ml femininos (7 fragrâncias)</t>
        </r>
      </text>
    </comment>
    <comment ref="B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C8" authorId="0">
      <text>
        <r>
          <rPr>
            <sz val="10"/>
            <rFont val="Arial"/>
            <family val="2"/>
          </rPr>
          <t xml:space="preserve">Hidratante Body Cream 120ml (3 fragrâncias)</t>
        </r>
      </text>
    </comment>
    <comment ref="C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(F007/F011/F012/F019/F022)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Natural Curling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<sst xmlns="http://schemas.openxmlformats.org/spreadsheetml/2006/main" count="508" uniqueCount="254">
  <si>
    <t xml:space="preserve">Análise do fornecedor Bem Mulher (Loja de R$10)</t>
  </si>
  <si>
    <t xml:space="preserve">Atualizada a cada leva de prints. Produtos com "S" em "Vou comprar?" entram nas contas abaixo, na quantidade da coluna "Quantas caixas/unidades comprar" (aba Produtos).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</si>
  <si>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</si>
  <si>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</si>
  <si>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</si>
  <si>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</si>
  <si>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no fornecedor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</si>
  <si>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</si>
  <si>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</si>
  <si>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</si>
  <si>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</si>
  <si>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</si>
  <si>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</si>
  <si>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</si>
  <si>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</si>
  <si>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</si>
  <si>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</si>
  <si>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</si>
  <si>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</si>
  <si>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</si>
  <si>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</si>
  <si>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</si>
  <si>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</si>
  <si>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</si>
  <si>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</si>
  <si>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</si>
  <si>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</si>
  <si>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</si>
  <si>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</si>
  <si>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beleza). Confira a taxa atual</t>
  </si>
  <si>
    <t xml:space="preserve">Mercado Livre: taxa fixa por venda abaixo de R$ 79 (R$)</t>
  </si>
  <si>
    <t xml:space="preserve">Aproximado. Confira a taxa atual</t>
  </si>
  <si>
    <t xml:space="preserve">Shopee: comissão + frete grátis</t>
  </si>
  <si>
    <t xml:space="preserve">Shopee: taxa fixa por item (R$)</t>
  </si>
  <si>
    <t xml:space="preserve">Meta de lucro por mês (R$)</t>
  </si>
  <si>
    <t xml:space="preserve">Valor de exemplo: coloque a sua meta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</si>
  <si>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</si>
  <si>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</si>
  <si>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</si>
  <si>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</si>
  <si>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</si>
  <si>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</si>
  <si>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</si>
  <si>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</si>
  <si>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</si>
  <si>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</si>
  <si>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</si>
  <si>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</si>
  <si>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</si>
  <si>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</si>
  <si>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</si>
  <si>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</si>
  <si>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</si>
  <si>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</si>
  <si>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</si>
  <si>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</si>
  <si>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(se comprar)</t>
  </si>
  <si>
    <t xml:space="preserve">Lucro (se comprar)</t>
  </si>
  <si>
    <t xml:space="preserve">Quantas caixas/unidades comprar</t>
  </si>
  <si>
    <t xml:space="preserve">Investimento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</si>
  <si>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</si>
  <si>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</si>
  <si>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</si>
  <si>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</si>
  <si>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</si>
  <si>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</si>
  <si>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</si>
  <si>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</si>
  <si>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</si>
  <si>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</si>
  <si>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</si>
  <si>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</si>
  <si>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</si>
  <si>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</si>
  <si>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</si>
  <si>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</si>
  <si>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</si>
  <si>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</si>
  <si>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</si>
  <si>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</si>
  <si>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</si>
  <si>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</si>
  <si>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</si>
  <si>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</si>
  <si>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</si>
  <si>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</si>
  <si>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</si>
  <si>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</si>
  <si>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</si>
  <si>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</si>
  <si>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</si>
  <si>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</si>
  <si>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</si>
  <si>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</si>
  <si>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</si>
  <si>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</si>
  <si>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</si>
  <si>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</si>
  <si>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</si>
  <si>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</si>
  <si>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</si>
  <si>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</si>
  <si>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</si>
  <si>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</si>
  <si>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</si>
  <si>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</si>
  <si>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</si>
  <si>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</si>
  <si>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</si>
  <si>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</si>
  <si>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</si>
  <si>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</si>
  <si>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</si>
  <si>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</si>
  <si>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</si>
  <si>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</si>
  <si>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</si>
  <si>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</si>
  <si>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</si>
  <si>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</si>
  <si>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</si>
  <si>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</si>
  <si>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</si>
  <si>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</si>
  <si>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</si>
  <si>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</si>
  <si>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Comprar (kit Olhar Poderoso)</t>
  </si>
  <si>
    <t xml:space="preserve">P22</t>
  </si>
  <si>
    <t xml:space="preserve">Cílios Postiços 8D (F007/F011/F012/F019/F022)</t>
  </si>
  <si>
    <t xml:space="preserve">Sabrina Sato</t>
  </si>
  <si>
    <t xml:space="preserve">5 modelos,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</si>
  <si>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</si>
  <si>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</si>
  <si>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</si>
  <si>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</si>
  <si>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</si>
  <si>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</si>
  <si>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</si>
  <si>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</si>
  <si>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</si>
  <si>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</si>
  <si>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</si>
  <si>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</si>
  <si>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</si>
  <si>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</si>
  <si>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</si>
  <si>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</si>
  <si>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</si>
  <si>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</si>
  <si>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</si>
  <si>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</si>
  <si>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</si>
  <si>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</si>
  <si>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</si>
  <si>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</si>
  <si>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</si>
  <si>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</si>
  <si>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</si>
  <si>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</si>
  <si>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</si>
  <si>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</si>
  <si>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</si>
  <si>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</si>
  <si>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</si>
  <si>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</si>
  <si>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</si>
  <si>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</si>
  <si>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</si>
  <si>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</si>
  <si>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</si>
  <si>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</si>
  <si>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</si>
  <si>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</si>
  <si>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</si>
  <si>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</si>
  <si>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</si>
  <si>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</si>
  <si>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</si>
  <si>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</si>
  <si>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</si>
  <si>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</si>
  <si>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</si>
  <si>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</si>
  <si>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</si>
  <si>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</si>
  <si>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</si>
  <si>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</si>
  <si>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</si>
  <si>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</si>
  <si>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</si>
  <si>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</si>
  <si>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</si>
  <si>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</si>
  <si>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</si>
  <si>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</si>
  <si>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</si>
  <si>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</si>
  <si>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</si>
  <si>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</si>
  <si>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P45</t>
  </si>
  <si>
    <t xml:space="preserve">Super Hidratante Corporal e Facial Vitamina C 150g</t>
  </si>
  <si>
    <t xml:space="preserve">Better Me</t>
  </si>
  <si>
    <t xml:space="preserve">Outras versões (pêssego, baunilha) à venda no ML/Shopee</t>
  </si>
  <si>
    <t xml:space="preserve">P46</t>
  </si>
  <si>
    <t xml:space="preserve">Super Esfoliante Corporal e Facial Vitamina C 150g</t>
  </si>
  <si>
    <t xml:space="preserve">P47</t>
  </si>
  <si>
    <t xml:space="preserve">Batom Líquido Matte Touch</t>
  </si>
  <si>
    <t xml:space="preserve">Pink 21</t>
  </si>
  <si>
    <t xml:space="preserve">Caixa com 48</t>
  </si>
  <si>
    <t xml:space="preserve">P48</t>
  </si>
  <si>
    <t xml:space="preserve">Batom Líquido Beauty</t>
  </si>
  <si>
    <t xml:space="preserve">P49</t>
  </si>
  <si>
    <t xml:space="preserve">Batom Líquido Efeito Matte All Day</t>
  </si>
  <si>
    <t xml:space="preserve">Comprar (1 linha de batom)</t>
  </si>
  <si>
    <t xml:space="preserve">Caixa com 48. Visto de R$ 10 a R$ 24,99</t>
  </si>
  <si>
    <t xml:space="preserve">P50</t>
  </si>
  <si>
    <t xml:space="preserve">Pó Solto Banana Soft Sheer</t>
  </si>
  <si>
    <t xml:space="preserve">Alleva</t>
  </si>
  <si>
    <t xml:space="preserve">Caixa com 18</t>
  </si>
  <si>
    <t xml:space="preserve">P51</t>
  </si>
  <si>
    <t xml:space="preserve">Pó Solto Translúcido Soft Sheer</t>
  </si>
  <si>
    <t xml:space="preserve">P52</t>
  </si>
  <si>
    <t xml:space="preserve">Body Splash 120ml femininos (7 fragrâncias)</t>
  </si>
  <si>
    <t xml:space="preserve">Natuza</t>
  </si>
  <si>
    <t xml:space="preserve">Perfumaria</t>
  </si>
  <si>
    <t xml:space="preserve">Obsession Pink, Libertad, Sahar Al Noor, Royal Rose, Golden Vip, Yara Zahra, Good Angel. Body splash árabe de 200ml de outras marcas sai por ~R$ 59,90</t>
  </si>
  <si>
    <t xml:space="preserve">P53</t>
  </si>
  <si>
    <t xml:space="preserve">Body Splash For Men 120ml (3 fragrâncias)</t>
  </si>
  <si>
    <t xml:space="preserve">Asad Black, Royal Black, Hayat Al Gold</t>
  </si>
  <si>
    <t xml:space="preserve">P54</t>
  </si>
  <si>
    <t xml:space="preserve">Hidratante Body Cream 120ml (3 fragrâncias)</t>
  </si>
  <si>
    <t xml:space="preserve">Comprar (kit Perfumada)</t>
  </si>
  <si>
    <t xml:space="preserve">Libertad, Obsession Pink, Good Angel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</si>
  <si>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</si>
  <si>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</si>
  <si>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</si>
  <si>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</si>
  <si>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</si>
  <si>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</si>
  <si>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</si>
  <si>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</si>
  <si>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</si>
  <si>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</si>
  <si>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</si>
  <si>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</si>
  <si>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</si>
  <si>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</si>
  <si>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</si>
  <si>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</si>
  <si>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</si>
  <si>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</si>
  <si>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Perfumada (splash + creme)</t>
  </si>
  <si>
    <t xml:space="preserve">Presente Masculino (2 splash)</t>
  </si>
  <si>
    <t xml:space="preserve">Os itens são IDs da aba Produtos (passe o mouse para ver o nome). Repetir um ID = mais de uma unidade no kit.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</si>
</sst>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E6DDE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1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B3E0BF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2E6CC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DEAD4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E3EC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COUNTA(Produtos!A2:A55)</f>
        <v>54</v>
      </c>
    </row>
    <row r="6" customFormat="false" ht="15" hidden="false" customHeight="false" outlineLevel="0" collapsed="false">
      <c r="A6" s="4" t="s">
        <v>5</v>
      </c>
      <c r="B6" s="5" t="n">
        <f aca="false">COUNTIF(Produtos!T2:T55,"S")</f>
        <v>28</v>
      </c>
    </row>
    <row r="7" customFormat="false" ht="15" hidden="false" customHeight="false" outlineLevel="0" collapsed="false">
      <c r="A7" s="6" t="s">
        <v>6</v>
      </c>
      <c r="B7" s="7" t="n">
        <f aca="false">SUM(Produtos!Y2:Y55)</f>
        <v>3025.3</v>
      </c>
    </row>
    <row r="8" customFormat="false" ht="15" hidden="false" customHeight="false" outlineLevel="0" collapsed="false">
      <c r="A8" s="4" t="s">
        <v>7</v>
      </c>
      <c r="B8" s="5" t="n">
        <f aca="false">SUMPRODUCT((Produtos!T2:T55="S")*Produtos!F2:F55*Produtos!X2:X55)</f>
        <v>505</v>
      </c>
    </row>
    <row r="9" customFormat="false" ht="15" hidden="false" customHeight="false" outlineLevel="0" collapsed="false">
      <c r="A9" s="4" t="s">
        <v>8</v>
      </c>
      <c r="B9" s="7" t="n">
        <f aca="false">SUM(Produtos!V2:V55)</f>
        <v>7633.5</v>
      </c>
    </row>
    <row r="10" customFormat="false" ht="15" hidden="false" customHeight="false" outlineLevel="0" collapsed="false">
      <c r="A10" s="6" t="s">
        <v>9</v>
      </c>
      <c r="B10" s="7" t="n">
        <f aca="false">SUM(Produtos!W2:W55)</f>
        <v>3649.00675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1.20616360360956</v>
      </c>
    </row>
    <row r="12" customFormat="false" ht="15" hidden="false" customHeight="false" outlineLevel="0" collapsed="false">
      <c r="A12" s="4" t="s">
        <v>11</v>
      </c>
      <c r="B12" s="7" t="n">
        <f aca="false">Premissas!$B$12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0.12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6.25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31</v>
      </c>
    </row>
    <row r="11" customFormat="false" ht="15" hidden="false" customHeight="false" outlineLevel="0" collapsed="false">
      <c r="A11" s="4" t="s">
        <v>33</v>
      </c>
      <c r="B11" s="12" t="n">
        <v>4</v>
      </c>
      <c r="C11" s="11" t="s">
        <v>31</v>
      </c>
    </row>
    <row r="12" customFormat="false" ht="15" hidden="false" customHeight="false" outlineLevel="0" collapsed="false">
      <c r="A12" s="4" t="s">
        <v>34</v>
      </c>
      <c r="B12" s="12" t="n">
        <v>1000</v>
      </c>
      <c r="C12" s="11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  <col collapsed="false" customWidth="true" hidden="false" outlineLevel="0" max="24" min="24" style="0" width="13"/>
    <col collapsed="false" customWidth="true" hidden="false" outlineLevel="0" max="25" min="25" style="0" width="14"/>
  </cols>
  <sheetData>
    <row r="1" customFormat="false" ht="42" hidden="false" customHeight="true" outlineLevel="0" collapsed="false">
      <c r="A1" s="13" t="s">
        <v>36</v>
      </c>
      <c r="B1" s="13" t="s">
        <v>37</v>
      </c>
      <c r="C1" s="13" t="s">
        <v>38</v>
      </c>
      <c r="D1" s="13" t="s">
        <v>39</v>
      </c>
      <c r="E1" s="13" t="s">
        <v>40</v>
      </c>
      <c r="F1" s="13" t="s">
        <v>41</v>
      </c>
      <c r="G1" s="13" t="s">
        <v>42</v>
      </c>
      <c r="H1" s="13" t="s">
        <v>43</v>
      </c>
      <c r="I1" s="13" t="s">
        <v>44</v>
      </c>
      <c r="J1" s="13" t="s">
        <v>45</v>
      </c>
      <c r="K1" s="13" t="s">
        <v>46</v>
      </c>
      <c r="L1" s="13" t="s">
        <v>47</v>
      </c>
      <c r="M1" s="13" t="s">
        <v>48</v>
      </c>
      <c r="N1" s="13" t="s">
        <v>49</v>
      </c>
      <c r="O1" s="13" t="s">
        <v>50</v>
      </c>
      <c r="P1" s="13" t="s">
        <v>51</v>
      </c>
      <c r="Q1" s="13" t="s">
        <v>52</v>
      </c>
      <c r="R1" s="13" t="s">
        <v>53</v>
      </c>
      <c r="S1" s="13" t="s">
        <v>54</v>
      </c>
      <c r="T1" s="13" t="s">
        <v>55</v>
      </c>
      <c r="U1" s="13" t="s">
        <v>21</v>
      </c>
      <c r="V1" s="13" t="s">
        <v>56</v>
      </c>
      <c r="W1" s="13" t="s">
        <v>57</v>
      </c>
      <c r="X1" s="13" t="s">
        <v>58</v>
      </c>
      <c r="Y1" s="13" t="s">
        <v>59</v>
      </c>
    </row>
    <row r="2" customFormat="false" ht="15" hidden="false" customHeight="false" outlineLevel="0" collapsed="false">
      <c r="A2" s="14" t="s">
        <v>60</v>
      </c>
      <c r="B2" s="15" t="s">
        <v>61</v>
      </c>
      <c r="C2" s="14" t="s">
        <v>62</v>
      </c>
      <c r="D2" s="14" t="s">
        <v>63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64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-0.658833333333333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IFERROR(IF(M2&gt;0,ROUNDUP(Premissas!$B$12/M2,0),"sem lucro"),"")</f>
        <v>155</v>
      </c>
      <c r="S2" s="15" t="s">
        <v>65</v>
      </c>
      <c r="T2" s="23" t="s">
        <v>66</v>
      </c>
      <c r="U2" s="15" t="s">
        <v>67</v>
      </c>
      <c r="V2" s="18" t="n">
        <f aca="false">IF(AND(T2="S",ISNUMBER(L2),ISNUMBER(F2)),L2*F2*X2,0)</f>
        <v>357.6</v>
      </c>
      <c r="W2" s="18" t="n">
        <f aca="false">IF(AND(T2="S",ISNUMBER(Q2)),Q2*X2,0)</f>
        <v>155.8228</v>
      </c>
      <c r="X2" s="23" t="n">
        <v>1</v>
      </c>
      <c r="Y2" s="18" t="n">
        <f aca="false">IF(AND(T2="S",ISNUMBER(G2)),G2*X2,0)</f>
        <v>156.5</v>
      </c>
    </row>
    <row r="3" customFormat="false" ht="15" hidden="false" customHeight="false" outlineLevel="0" collapsed="false">
      <c r="A3" s="14" t="s">
        <v>68</v>
      </c>
      <c r="B3" s="15" t="s">
        <v>69</v>
      </c>
      <c r="C3" s="14" t="s">
        <v>70</v>
      </c>
      <c r="D3" s="14" t="s">
        <v>63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64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-0.8755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IFERROR(IF(M3&gt;0,ROUNDUP(Premissas!$B$12/M3,0),"sem lucro"),"")</f>
        <v>160</v>
      </c>
      <c r="S3" s="15" t="s">
        <v>71</v>
      </c>
      <c r="T3" s="23" t="s">
        <v>66</v>
      </c>
      <c r="U3" s="15" t="s">
        <v>72</v>
      </c>
      <c r="V3" s="18" t="n">
        <f aca="false">IF(AND(T3="S",ISNUMBER(L3),ISNUMBER(F3)),L3*F3*X3,0)</f>
        <v>357.6</v>
      </c>
      <c r="W3" s="18" t="n">
        <f aca="false">IF(AND(T3="S",ISNUMBER(Q3)),Q3*X3,0)</f>
        <v>150.6228</v>
      </c>
      <c r="X3" s="23" t="n">
        <v>1</v>
      </c>
      <c r="Y3" s="18" t="n">
        <f aca="false">IF(AND(T3="S",ISNUMBER(G3)),G3*X3,0)</f>
        <v>161.7</v>
      </c>
    </row>
    <row r="4" customFormat="false" ht="15" hidden="false" customHeight="false" outlineLevel="0" collapsed="false">
      <c r="A4" s="14" t="s">
        <v>73</v>
      </c>
      <c r="B4" s="15" t="s">
        <v>74</v>
      </c>
      <c r="C4" s="14" t="s">
        <v>70</v>
      </c>
      <c r="D4" s="14" t="s">
        <v>63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64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IFERROR(IF(M4&gt;0,ROUNDUP(Premissas!$B$12/M4,0),"sem lucro"),"")</f>
        <v/>
      </c>
      <c r="S4" s="15" t="s">
        <v>75</v>
      </c>
      <c r="T4" s="23" t="s">
        <v>76</v>
      </c>
      <c r="U4" s="15" t="s">
        <v>77</v>
      </c>
      <c r="V4" s="18" t="n">
        <f aca="false">IF(AND(T4="S",ISNUMBER(L4),ISNUMBER(F4)),L4*F4*X4,0)</f>
        <v>0</v>
      </c>
      <c r="W4" s="18" t="n">
        <f aca="false">IF(AND(T4="S",ISNUMBER(Q4)),Q4*X4,0)</f>
        <v>0</v>
      </c>
      <c r="X4" s="23" t="n">
        <v>1</v>
      </c>
      <c r="Y4" s="18" t="n">
        <f aca="false">IF(AND(T4="S",ISNUMBER(G4)),G4*X4,0)</f>
        <v>0</v>
      </c>
    </row>
    <row r="5" customFormat="false" ht="15" hidden="false" customHeight="false" outlineLevel="0" collapsed="false">
      <c r="A5" s="14" t="s">
        <v>78</v>
      </c>
      <c r="B5" s="15" t="s">
        <v>79</v>
      </c>
      <c r="C5" s="14" t="s">
        <v>70</v>
      </c>
      <c r="D5" s="14" t="s">
        <v>63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64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IFERROR(IF(M5&gt;0,ROUNDUP(Premissas!$B$12/M5,0),"sem lucro"),"")</f>
        <v/>
      </c>
      <c r="S5" s="15" t="s">
        <v>75</v>
      </c>
      <c r="T5" s="23" t="s">
        <v>76</v>
      </c>
      <c r="U5" s="15" t="s">
        <v>77</v>
      </c>
      <c r="V5" s="18" t="n">
        <f aca="false">IF(AND(T5="S",ISNUMBER(L5),ISNUMBER(F5)),L5*F5*X5,0)</f>
        <v>0</v>
      </c>
      <c r="W5" s="18" t="n">
        <f aca="false">IF(AND(T5="S",ISNUMBER(Q5)),Q5*X5,0)</f>
        <v>0</v>
      </c>
      <c r="X5" s="23" t="n">
        <v>1</v>
      </c>
      <c r="Y5" s="18" t="n">
        <f aca="false">IF(AND(T5="S",ISNUMBER(G5)),G5*X5,0)</f>
        <v>0</v>
      </c>
    </row>
    <row r="6" customFormat="false" ht="15" hidden="false" customHeight="false" outlineLevel="0" collapsed="false">
      <c r="A6" s="14" t="s">
        <v>80</v>
      </c>
      <c r="B6" s="15" t="s">
        <v>81</v>
      </c>
      <c r="C6" s="14" t="s">
        <v>70</v>
      </c>
      <c r="D6" s="14" t="s">
        <v>63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64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-0.8755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IFERROR(IF(M6&gt;0,ROUNDUP(Premissas!$B$12/M6,0),"sem lucro"),"")</f>
        <v>160</v>
      </c>
      <c r="S6" s="15" t="s">
        <v>82</v>
      </c>
      <c r="T6" s="23" t="s">
        <v>76</v>
      </c>
      <c r="U6" s="15"/>
      <c r="V6" s="18" t="n">
        <f aca="false">IF(AND(T6="S",ISNUMBER(L6),ISNUMBER(F6)),L6*F6*X6,0)</f>
        <v>0</v>
      </c>
      <c r="W6" s="18" t="n">
        <f aca="false">IF(AND(T6="S",ISNUMBER(Q6)),Q6*X6,0)</f>
        <v>0</v>
      </c>
      <c r="X6" s="23" t="n">
        <v>1</v>
      </c>
      <c r="Y6" s="18" t="n">
        <f aca="false">IF(AND(T6="S",ISNUMBER(G6)),G6*X6,0)</f>
        <v>0</v>
      </c>
    </row>
    <row r="7" customFormat="false" ht="15" hidden="false" customHeight="false" outlineLevel="0" collapsed="false">
      <c r="A7" s="14" t="s">
        <v>83</v>
      </c>
      <c r="B7" s="15" t="s">
        <v>84</v>
      </c>
      <c r="C7" s="14" t="s">
        <v>70</v>
      </c>
      <c r="D7" s="14" t="s">
        <v>63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64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-0.8755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IFERROR(IF(M7&gt;0,ROUNDUP(Premissas!$B$12/M7,0),"sem lucro"),"")</f>
        <v>160</v>
      </c>
      <c r="S7" s="15" t="s">
        <v>71</v>
      </c>
      <c r="T7" s="23" t="s">
        <v>66</v>
      </c>
      <c r="U7" s="15"/>
      <c r="V7" s="18" t="n">
        <f aca="false">IF(AND(T7="S",ISNUMBER(L7),ISNUMBER(F7)),L7*F7*X7,0)</f>
        <v>357.6</v>
      </c>
      <c r="W7" s="18" t="n">
        <f aca="false">IF(AND(T7="S",ISNUMBER(Q7)),Q7*X7,0)</f>
        <v>150.6228</v>
      </c>
      <c r="X7" s="23" t="n">
        <v>1</v>
      </c>
      <c r="Y7" s="18" t="n">
        <f aca="false">IF(AND(T7="S",ISNUMBER(G7)),G7*X7,0)</f>
        <v>161.7</v>
      </c>
    </row>
    <row r="8" customFormat="false" ht="15" hidden="false" customHeight="false" outlineLevel="0" collapsed="false">
      <c r="A8" s="14" t="s">
        <v>85</v>
      </c>
      <c r="B8" s="15" t="s">
        <v>86</v>
      </c>
      <c r="C8" s="14" t="s">
        <v>70</v>
      </c>
      <c r="D8" s="14" t="s">
        <v>63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64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-0.958833333333333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IFERROR(IF(M8&gt;0,ROUNDUP(Premissas!$B$12/M8,0),"sem lucro"),"")</f>
        <v>162</v>
      </c>
      <c r="S8" s="15" t="s">
        <v>71</v>
      </c>
      <c r="T8" s="23" t="s">
        <v>66</v>
      </c>
      <c r="U8" s="15"/>
      <c r="V8" s="18" t="n">
        <f aca="false">IF(AND(T8="S",ISNUMBER(L8),ISNUMBER(F8)),L8*F8*X8,0)</f>
        <v>357.6</v>
      </c>
      <c r="W8" s="18" t="n">
        <f aca="false">IF(AND(T8="S",ISNUMBER(Q8)),Q8*X8,0)</f>
        <v>148.6228</v>
      </c>
      <c r="X8" s="23" t="n">
        <v>1</v>
      </c>
      <c r="Y8" s="18" t="n">
        <f aca="false">IF(AND(T8="S",ISNUMBER(G8)),G8*X8,0)</f>
        <v>163.7</v>
      </c>
    </row>
    <row r="9" customFormat="false" ht="26.85" hidden="false" customHeight="false" outlineLevel="0" collapsed="false">
      <c r="A9" s="14" t="s">
        <v>87</v>
      </c>
      <c r="B9" s="15" t="s">
        <v>88</v>
      </c>
      <c r="C9" s="14" t="s">
        <v>70</v>
      </c>
      <c r="D9" s="14" t="s">
        <v>63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64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-2.478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IFERROR(IF(M9&gt;0,ROUNDUP(Premissas!$B$12/M9,0),"sem lucro"),"")</f>
        <v>223</v>
      </c>
      <c r="S9" s="15" t="s">
        <v>75</v>
      </c>
      <c r="T9" s="23" t="s">
        <v>76</v>
      </c>
      <c r="U9" s="15" t="s">
        <v>89</v>
      </c>
      <c r="V9" s="18" t="n">
        <f aca="false">IF(AND(T9="S",ISNUMBER(L9),ISNUMBER(F9)),L9*F9*X9,0)</f>
        <v>0</v>
      </c>
      <c r="W9" s="18" t="n">
        <f aca="false">IF(AND(T9="S",ISNUMBER(Q9)),Q9*X9,0)</f>
        <v>0</v>
      </c>
      <c r="X9" s="23" t="n">
        <v>12</v>
      </c>
      <c r="Y9" s="18" t="n">
        <f aca="false">IF(AND(T9="S",ISNUMBER(G9)),G9*X9,0)</f>
        <v>0</v>
      </c>
    </row>
    <row r="10" customFormat="false" ht="15" hidden="false" customHeight="false" outlineLevel="0" collapsed="false">
      <c r="A10" s="14" t="s">
        <v>90</v>
      </c>
      <c r="B10" s="15" t="s">
        <v>91</v>
      </c>
      <c r="C10" s="14" t="s">
        <v>70</v>
      </c>
      <c r="D10" s="14" t="s">
        <v>92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93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-1.598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IFERROR(IF(M10&gt;0,ROUNDUP(Premissas!$B$12/M10,0),"sem lucro"),"")</f>
        <v>185</v>
      </c>
      <c r="S10" s="15" t="s">
        <v>65</v>
      </c>
      <c r="T10" s="23" t="s">
        <v>66</v>
      </c>
      <c r="U10" s="15"/>
      <c r="V10" s="18" t="n">
        <f aca="false">IF(AND(T10="S",ISNUMBER(L10),ISNUMBER(F10)),L10*F10*X10,0)</f>
        <v>154.8</v>
      </c>
      <c r="W10" s="18" t="n">
        <f aca="false">IF(AND(T10="S",ISNUMBER(Q10)),Q10*X10,0)</f>
        <v>65.1894</v>
      </c>
      <c r="X10" s="23" t="n">
        <v>12</v>
      </c>
      <c r="Y10" s="18" t="n">
        <f aca="false">IF(AND(T10="S",ISNUMBER(G10)),G10*X10,0)</f>
        <v>68.4</v>
      </c>
    </row>
    <row r="11" customFormat="false" ht="15" hidden="false" customHeight="false" outlineLevel="0" collapsed="false">
      <c r="A11" s="14" t="s">
        <v>94</v>
      </c>
      <c r="B11" s="15" t="s">
        <v>95</v>
      </c>
      <c r="C11" s="14" t="s">
        <v>70</v>
      </c>
      <c r="D11" s="14" t="s">
        <v>92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93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0.162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IFERROR(IF(M11&gt;0,ROUNDUP(Premissas!$B$12/M11,0),"sem lucro"),"")</f>
        <v>137</v>
      </c>
      <c r="S11" s="15" t="s">
        <v>65</v>
      </c>
      <c r="T11" s="23" t="s">
        <v>66</v>
      </c>
      <c r="U11" s="15"/>
      <c r="V11" s="18" t="n">
        <f aca="false">IF(AND(T11="S",ISNUMBER(L11),ISNUMBER(F11)),L11*F11*X11,0)</f>
        <v>178.8</v>
      </c>
      <c r="W11" s="18" t="n">
        <f aca="false">IF(AND(T11="S",ISNUMBER(Q11)),Q11*X11,0)</f>
        <v>87.7614</v>
      </c>
      <c r="X11" s="23" t="n">
        <v>12</v>
      </c>
      <c r="Y11" s="18" t="n">
        <f aca="false">IF(AND(T11="S",ISNUMBER(G11)),G11*X11,0)</f>
        <v>68.4</v>
      </c>
    </row>
    <row r="12" customFormat="false" ht="15" hidden="false" customHeight="false" outlineLevel="0" collapsed="false">
      <c r="A12" s="14" t="s">
        <v>96</v>
      </c>
      <c r="B12" s="15" t="s">
        <v>97</v>
      </c>
      <c r="C12" s="14" t="s">
        <v>70</v>
      </c>
      <c r="D12" s="14" t="s">
        <v>92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64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-1.598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IFERROR(IF(M12&gt;0,ROUNDUP(Premissas!$B$12/M12,0),"sem lucro"),"")</f>
        <v>185</v>
      </c>
      <c r="S12" s="15" t="s">
        <v>82</v>
      </c>
      <c r="T12" s="23" t="s">
        <v>76</v>
      </c>
      <c r="U12" s="15"/>
      <c r="V12" s="18" t="n">
        <f aca="false">IF(AND(T12="S",ISNUMBER(L12),ISNUMBER(F12)),L12*F12*X12,0)</f>
        <v>0</v>
      </c>
      <c r="W12" s="18" t="n">
        <f aca="false">IF(AND(T12="S",ISNUMBER(Q12)),Q12*X12,0)</f>
        <v>0</v>
      </c>
      <c r="X12" s="23" t="n">
        <v>12</v>
      </c>
      <c r="Y12" s="18" t="n">
        <f aca="false">IF(AND(T12="S",ISNUMBER(G12)),G12*X12,0)</f>
        <v>0</v>
      </c>
    </row>
    <row r="13" customFormat="false" ht="15" hidden="false" customHeight="false" outlineLevel="0" collapsed="false">
      <c r="A13" s="14" t="s">
        <v>98</v>
      </c>
      <c r="B13" s="15" t="s">
        <v>99</v>
      </c>
      <c r="C13" s="14" t="s">
        <v>70</v>
      </c>
      <c r="D13" s="14" t="s">
        <v>92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64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-1.598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IFERROR(IF(M13&gt;0,ROUNDUP(Premissas!$B$12/M13,0),"sem lucro"),"")</f>
        <v>185</v>
      </c>
      <c r="S13" s="15" t="s">
        <v>100</v>
      </c>
      <c r="T13" s="23" t="s">
        <v>66</v>
      </c>
      <c r="U13" s="15"/>
      <c r="V13" s="18" t="n">
        <f aca="false">IF(AND(T13="S",ISNUMBER(L13),ISNUMBER(F13)),L13*F13*X13,0)</f>
        <v>154.8</v>
      </c>
      <c r="W13" s="18" t="n">
        <f aca="false">IF(AND(T13="S",ISNUMBER(Q13)),Q13*X13,0)</f>
        <v>65.1894</v>
      </c>
      <c r="X13" s="23" t="n">
        <v>12</v>
      </c>
      <c r="Y13" s="18" t="n">
        <f aca="false">IF(AND(T13="S",ISNUMBER(G13)),G13*X13,0)</f>
        <v>68.4</v>
      </c>
    </row>
    <row r="14" customFormat="false" ht="15" hidden="false" customHeight="false" outlineLevel="0" collapsed="false">
      <c r="A14" s="14" t="s">
        <v>101</v>
      </c>
      <c r="B14" s="15" t="s">
        <v>102</v>
      </c>
      <c r="C14" s="14" t="s">
        <v>70</v>
      </c>
      <c r="D14" s="14" t="s">
        <v>92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93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-1.598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IFERROR(IF(M14&gt;0,ROUNDUP(Premissas!$B$12/M14,0),"sem lucro"),"")</f>
        <v>185</v>
      </c>
      <c r="S14" s="15" t="s">
        <v>82</v>
      </c>
      <c r="T14" s="23" t="s">
        <v>76</v>
      </c>
      <c r="U14" s="15"/>
      <c r="V14" s="18" t="n">
        <f aca="false">IF(AND(T14="S",ISNUMBER(L14),ISNUMBER(F14)),L14*F14*X14,0)</f>
        <v>0</v>
      </c>
      <c r="W14" s="18" t="n">
        <f aca="false">IF(AND(T14="S",ISNUMBER(Q14)),Q14*X14,0)</f>
        <v>0</v>
      </c>
      <c r="X14" s="23" t="n">
        <v>12</v>
      </c>
      <c r="Y14" s="18" t="n">
        <f aca="false">IF(AND(T14="S",ISNUMBER(G14)),G14*X14,0)</f>
        <v>0</v>
      </c>
    </row>
    <row r="15" customFormat="false" ht="15" hidden="false" customHeight="false" outlineLevel="0" collapsed="false">
      <c r="A15" s="14" t="s">
        <v>103</v>
      </c>
      <c r="B15" s="15" t="s">
        <v>104</v>
      </c>
      <c r="C15" s="14" t="s">
        <v>70</v>
      </c>
      <c r="D15" s="14" t="s">
        <v>92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93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-1.598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IFERROR(IF(M15&gt;0,ROUNDUP(Premissas!$B$12/M15,0),"sem lucro"),"")</f>
        <v>185</v>
      </c>
      <c r="S15" s="15" t="s">
        <v>82</v>
      </c>
      <c r="T15" s="23" t="s">
        <v>76</v>
      </c>
      <c r="U15" s="15"/>
      <c r="V15" s="18" t="n">
        <f aca="false">IF(AND(T15="S",ISNUMBER(L15),ISNUMBER(F15)),L15*F15*X15,0)</f>
        <v>0</v>
      </c>
      <c r="W15" s="18" t="n">
        <f aca="false">IF(AND(T15="S",ISNUMBER(Q15)),Q15*X15,0)</f>
        <v>0</v>
      </c>
      <c r="X15" s="23" t="n">
        <v>12</v>
      </c>
      <c r="Y15" s="18" t="n">
        <f aca="false">IF(AND(T15="S",ISNUMBER(G15)),G15*X15,0)</f>
        <v>0</v>
      </c>
    </row>
    <row r="16" customFormat="false" ht="15" hidden="false" customHeight="false" outlineLevel="0" collapsed="false">
      <c r="A16" s="14" t="s">
        <v>105</v>
      </c>
      <c r="B16" s="15" t="s">
        <v>106</v>
      </c>
      <c r="C16" s="14" t="s">
        <v>107</v>
      </c>
      <c r="D16" s="14" t="s">
        <v>108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93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2.322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IFERROR(IF(M16&gt;0,ROUNDUP(Premissas!$B$12/M16,0),"sem lucro"),"")</f>
        <v>105</v>
      </c>
      <c r="S16" s="15" t="s">
        <v>65</v>
      </c>
      <c r="T16" s="23" t="s">
        <v>66</v>
      </c>
      <c r="U16" s="15"/>
      <c r="V16" s="18" t="n">
        <f aca="false">IF(AND(T16="S",ISNUMBER(L16),ISNUMBER(F16)),L16*F16*X16,0)</f>
        <v>202.8</v>
      </c>
      <c r="W16" s="18" t="n">
        <f aca="false">IF(AND(T16="S",ISNUMBER(Q16)),Q16*X16,0)</f>
        <v>115.1334</v>
      </c>
      <c r="X16" s="23" t="n">
        <v>12</v>
      </c>
      <c r="Y16" s="18" t="n">
        <f aca="false">IF(AND(T16="S",ISNUMBER(G16)),G16*X16,0)</f>
        <v>63.6</v>
      </c>
    </row>
    <row r="17" customFormat="false" ht="15" hidden="false" customHeight="false" outlineLevel="0" collapsed="false">
      <c r="A17" s="14" t="s">
        <v>109</v>
      </c>
      <c r="B17" s="15" t="s">
        <v>110</v>
      </c>
      <c r="C17" s="14" t="s">
        <v>107</v>
      </c>
      <c r="D17" s="14" t="s">
        <v>108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64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-2.898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IFERROR(IF(M17&gt;0,ROUNDUP(Premissas!$B$12/M17,0),"sem lucro"),"")</f>
        <v>262</v>
      </c>
      <c r="S17" s="15" t="s">
        <v>111</v>
      </c>
      <c r="T17" s="23" t="s">
        <v>76</v>
      </c>
      <c r="U17" s="15"/>
      <c r="V17" s="18" t="n">
        <f aca="false">IF(AND(T17="S",ISNUMBER(L17),ISNUMBER(F17)),L17*F17*X17,0)</f>
        <v>0</v>
      </c>
      <c r="W17" s="18" t="n">
        <f aca="false">IF(AND(T17="S",ISNUMBER(Q17)),Q17*X17,0)</f>
        <v>0</v>
      </c>
      <c r="X17" s="23" t="n">
        <v>12</v>
      </c>
      <c r="Y17" s="18" t="n">
        <f aca="false">IF(AND(T17="S",ISNUMBER(G17)),G17*X17,0)</f>
        <v>0</v>
      </c>
    </row>
    <row r="18" customFormat="false" ht="15" hidden="false" customHeight="false" outlineLevel="0" collapsed="false">
      <c r="A18" s="14" t="s">
        <v>112</v>
      </c>
      <c r="B18" s="15" t="s">
        <v>113</v>
      </c>
      <c r="C18" s="14" t="s">
        <v>107</v>
      </c>
      <c r="D18" s="14" t="s">
        <v>108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64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-2.898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IFERROR(IF(M18&gt;0,ROUNDUP(Premissas!$B$12/M18,0),"sem lucro"),"")</f>
        <v>262</v>
      </c>
      <c r="S18" s="15" t="s">
        <v>111</v>
      </c>
      <c r="T18" s="23" t="s">
        <v>76</v>
      </c>
      <c r="U18" s="15"/>
      <c r="V18" s="18" t="n">
        <f aca="false">IF(AND(T18="S",ISNUMBER(L18),ISNUMBER(F18)),L18*F18*X18,0)</f>
        <v>0</v>
      </c>
      <c r="W18" s="18" t="n">
        <f aca="false">IF(AND(T18="S",ISNUMBER(Q18)),Q18*X18,0)</f>
        <v>0</v>
      </c>
      <c r="X18" s="23" t="n">
        <v>12</v>
      </c>
      <c r="Y18" s="18" t="n">
        <f aca="false">IF(AND(T18="S",ISNUMBER(G18)),G18*X18,0)</f>
        <v>0</v>
      </c>
    </row>
    <row r="19" customFormat="false" ht="15" hidden="false" customHeight="false" outlineLevel="0" collapsed="false">
      <c r="A19" s="14" t="s">
        <v>114</v>
      </c>
      <c r="B19" s="15" t="s">
        <v>115</v>
      </c>
      <c r="C19" s="14" t="s">
        <v>116</v>
      </c>
      <c r="D19" s="14" t="s">
        <v>117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64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-1.02758333333333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IFERROR(IF(M19&gt;0,ROUNDUP(Premissas!$B$12/M19,0),"sem lucro"),"")</f>
        <v>169</v>
      </c>
      <c r="S19" s="15" t="s">
        <v>82</v>
      </c>
      <c r="T19" s="23" t="s">
        <v>76</v>
      </c>
      <c r="U19" s="15"/>
      <c r="V19" s="18" t="n">
        <f aca="false">IF(AND(T19="S",ISNUMBER(L19),ISNUMBER(F19)),L19*F19*X19,0)</f>
        <v>0</v>
      </c>
      <c r="W19" s="18" t="n">
        <f aca="false">IF(AND(T19="S",ISNUMBER(Q19)),Q19*X19,0)</f>
        <v>0</v>
      </c>
      <c r="X19" s="23" t="n">
        <v>1</v>
      </c>
      <c r="Y19" s="18" t="n">
        <f aca="false">IF(AND(T19="S",ISNUMBER(G19)),G19*X19,0)</f>
        <v>0</v>
      </c>
    </row>
    <row r="20" customFormat="false" ht="15" hidden="false" customHeight="false" outlineLevel="0" collapsed="false">
      <c r="A20" s="14" t="s">
        <v>118</v>
      </c>
      <c r="B20" s="15" t="s">
        <v>119</v>
      </c>
      <c r="C20" s="14" t="s">
        <v>116</v>
      </c>
      <c r="D20" s="14" t="s">
        <v>117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64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-2.32925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IFERROR(IF(M20&gt;0,ROUNDUP(Premissas!$B$12/M20,0),"sem lucro"),"")</f>
        <v>222</v>
      </c>
      <c r="S20" s="15" t="s">
        <v>120</v>
      </c>
      <c r="T20" s="23" t="s">
        <v>76</v>
      </c>
      <c r="U20" s="15"/>
      <c r="V20" s="18" t="n">
        <f aca="false">IF(AND(T20="S",ISNUMBER(L20),ISNUMBER(F20)),L20*F20*X20,0)</f>
        <v>0</v>
      </c>
      <c r="W20" s="18" t="n">
        <f aca="false">IF(AND(T20="S",ISNUMBER(Q20)),Q20*X20,0)</f>
        <v>0</v>
      </c>
      <c r="X20" s="23" t="n">
        <v>1</v>
      </c>
      <c r="Y20" s="18" t="n">
        <f aca="false">IF(AND(T20="S",ISNUMBER(G20)),G20*X20,0)</f>
        <v>0</v>
      </c>
    </row>
    <row r="21" customFormat="false" ht="15" hidden="false" customHeight="false" outlineLevel="0" collapsed="false">
      <c r="A21" s="14" t="s">
        <v>121</v>
      </c>
      <c r="B21" s="15" t="s">
        <v>122</v>
      </c>
      <c r="C21" s="14" t="s">
        <v>116</v>
      </c>
      <c r="D21" s="14" t="s">
        <v>117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64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-2.973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IFERROR(IF(M21&gt;0,ROUNDUP(Premissas!$B$12/M21,0),"sem lucro"),"")</f>
        <v>267</v>
      </c>
      <c r="S21" s="15" t="s">
        <v>111</v>
      </c>
      <c r="T21" s="23" t="s">
        <v>76</v>
      </c>
      <c r="U21" s="15"/>
      <c r="V21" s="18" t="n">
        <f aca="false">IF(AND(T21="S",ISNUMBER(L21),ISNUMBER(F21)),L21*F21*X21,0)</f>
        <v>0</v>
      </c>
      <c r="W21" s="18" t="n">
        <f aca="false">IF(AND(T21="S",ISNUMBER(Q21)),Q21*X21,0)</f>
        <v>0</v>
      </c>
      <c r="X21" s="23" t="n">
        <v>1</v>
      </c>
      <c r="Y21" s="18" t="n">
        <f aca="false">IF(AND(T21="S",ISNUMBER(G21)),G21*X21,0)</f>
        <v>0</v>
      </c>
    </row>
    <row r="22" customFormat="false" ht="15" hidden="false" customHeight="false" outlineLevel="0" collapsed="false">
      <c r="A22" s="14" t="s">
        <v>123</v>
      </c>
      <c r="B22" s="15" t="s">
        <v>124</v>
      </c>
      <c r="C22" s="14" t="s">
        <v>116</v>
      </c>
      <c r="D22" s="14" t="s">
        <v>125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64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-2.58133333333333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IFERROR(IF(M22&gt;0,ROUNDUP(Premissas!$B$12/M22,0),"sem lucro"),"")</f>
        <v>225</v>
      </c>
      <c r="S22" s="15" t="s">
        <v>126</v>
      </c>
      <c r="T22" s="23" t="s">
        <v>66</v>
      </c>
      <c r="U22" s="15"/>
      <c r="V22" s="18" t="n">
        <f aca="false">IF(AND(T22="S",ISNUMBER(L22),ISNUMBER(F22)),L22*F22*X22,0)</f>
        <v>309.6</v>
      </c>
      <c r="W22" s="18" t="n">
        <f aca="false">IF(AND(T22="S",ISNUMBER(Q22)),Q22*X22,0)</f>
        <v>106.7788</v>
      </c>
      <c r="X22" s="23" t="n">
        <v>1</v>
      </c>
      <c r="Y22" s="18" t="n">
        <f aca="false">IF(AND(T22="S",ISNUMBER(G22)),G22*X22,0)</f>
        <v>160.4</v>
      </c>
    </row>
    <row r="23" customFormat="false" ht="26.85" hidden="false" customHeight="false" outlineLevel="0" collapsed="false">
      <c r="A23" s="14" t="s">
        <v>127</v>
      </c>
      <c r="B23" s="15" t="s">
        <v>128</v>
      </c>
      <c r="C23" s="14" t="s">
        <v>129</v>
      </c>
      <c r="D23" s="14" t="s">
        <v>125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93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-2.318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IFERROR(IF(M23&gt;0,ROUNDUP(Premissas!$B$12/M23,0),"sem lucro"),"")</f>
        <v>221</v>
      </c>
      <c r="S23" s="15" t="s">
        <v>65</v>
      </c>
      <c r="T23" s="23" t="s">
        <v>66</v>
      </c>
      <c r="U23" s="15" t="s">
        <v>130</v>
      </c>
      <c r="V23" s="18" t="n">
        <f aca="false">IF(AND(T23="S",ISNUMBER(L23),ISNUMBER(F23)),L23*F23*X23,0)</f>
        <v>99</v>
      </c>
      <c r="W23" s="18" t="n">
        <f aca="false">IF(AND(T23="S",ISNUMBER(Q23)),Q23*X23,0)</f>
        <v>45.3095</v>
      </c>
      <c r="X23" s="23" t="n">
        <v>1</v>
      </c>
      <c r="Y23" s="18" t="n">
        <f aca="false">IF(AND(T23="S",ISNUMBER(G23)),G23*X23,0)</f>
        <v>37.8</v>
      </c>
    </row>
    <row r="24" customFormat="false" ht="15" hidden="false" customHeight="false" outlineLevel="0" collapsed="false">
      <c r="A24" s="14" t="s">
        <v>131</v>
      </c>
      <c r="B24" s="15" t="s">
        <v>132</v>
      </c>
      <c r="C24" s="14" t="s">
        <v>133</v>
      </c>
      <c r="D24" s="14" t="s">
        <v>92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64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1.322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IFERROR(IF(M24&gt;0,ROUNDUP(Premissas!$B$12/M24,0),"sem lucro"),"")</f>
        <v>117</v>
      </c>
      <c r="S24" s="15" t="s">
        <v>134</v>
      </c>
      <c r="T24" s="23" t="s">
        <v>66</v>
      </c>
      <c r="U24" s="15"/>
      <c r="V24" s="18" t="n">
        <f aca="false">IF(AND(T24="S",ISNUMBER(L24),ISNUMBER(F24)),L24*F24*X24,0)</f>
        <v>202.8</v>
      </c>
      <c r="W24" s="18" t="n">
        <f aca="false">IF(AND(T24="S",ISNUMBER(Q24)),Q24*X24,0)</f>
        <v>103.1334</v>
      </c>
      <c r="X24" s="23" t="n">
        <v>12</v>
      </c>
      <c r="Y24" s="18" t="n">
        <f aca="false">IF(AND(T24="S",ISNUMBER(G24)),G24*X24,0)</f>
        <v>75.6</v>
      </c>
    </row>
    <row r="25" customFormat="false" ht="15" hidden="false" customHeight="false" outlineLevel="0" collapsed="false">
      <c r="A25" s="14" t="s">
        <v>135</v>
      </c>
      <c r="B25" s="15" t="s">
        <v>136</v>
      </c>
      <c r="C25" s="14" t="s">
        <v>133</v>
      </c>
      <c r="D25" s="14" t="s">
        <v>92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64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1.322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IFERROR(IF(M25&gt;0,ROUNDUP(Premissas!$B$12/M25,0),"sem lucro"),"")</f>
        <v>117</v>
      </c>
      <c r="S25" s="15" t="s">
        <v>134</v>
      </c>
      <c r="T25" s="23" t="s">
        <v>66</v>
      </c>
      <c r="U25" s="15"/>
      <c r="V25" s="18" t="n">
        <f aca="false">IF(AND(T25="S",ISNUMBER(L25),ISNUMBER(F25)),L25*F25*X25,0)</f>
        <v>202.8</v>
      </c>
      <c r="W25" s="18" t="n">
        <f aca="false">IF(AND(T25="S",ISNUMBER(Q25)),Q25*X25,0)</f>
        <v>103.1334</v>
      </c>
      <c r="X25" s="23" t="n">
        <v>12</v>
      </c>
      <c r="Y25" s="18" t="n">
        <f aca="false">IF(AND(T25="S",ISNUMBER(G25)),G25*X25,0)</f>
        <v>75.6</v>
      </c>
    </row>
    <row r="26" customFormat="false" ht="15" hidden="false" customHeight="false" outlineLevel="0" collapsed="false">
      <c r="A26" s="14" t="s">
        <v>137</v>
      </c>
      <c r="B26" s="15" t="s">
        <v>138</v>
      </c>
      <c r="C26" s="14" t="s">
        <v>133</v>
      </c>
      <c r="D26" s="14" t="s">
        <v>92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64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1.322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IFERROR(IF(M26&gt;0,ROUNDUP(Premissas!$B$12/M26,0),"sem lucro"),"")</f>
        <v>117</v>
      </c>
      <c r="S26" s="15" t="s">
        <v>134</v>
      </c>
      <c r="T26" s="23" t="s">
        <v>66</v>
      </c>
      <c r="U26" s="15"/>
      <c r="V26" s="18" t="n">
        <f aca="false">IF(AND(T26="S",ISNUMBER(L26),ISNUMBER(F26)),L26*F26*X26,0)</f>
        <v>202.8</v>
      </c>
      <c r="W26" s="18" t="n">
        <f aca="false">IF(AND(T26="S",ISNUMBER(Q26)),Q26*X26,0)</f>
        <v>103.1334</v>
      </c>
      <c r="X26" s="23" t="n">
        <v>12</v>
      </c>
      <c r="Y26" s="18" t="n">
        <f aca="false">IF(AND(T26="S",ISNUMBER(G26)),G26*X26,0)</f>
        <v>75.6</v>
      </c>
    </row>
    <row r="27" customFormat="false" ht="15" hidden="false" customHeight="false" outlineLevel="0" collapsed="false">
      <c r="A27" s="14" t="s">
        <v>139</v>
      </c>
      <c r="B27" s="15" t="s">
        <v>140</v>
      </c>
      <c r="C27" s="14" t="s">
        <v>133</v>
      </c>
      <c r="D27" s="14" t="s">
        <v>141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64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3.362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IFERROR(IF(M27&gt;0,ROUNDUP(Premissas!$B$12/M27,0),"sem lucro"),"")</f>
        <v>93</v>
      </c>
      <c r="S27" s="15" t="s">
        <v>65</v>
      </c>
      <c r="T27" s="23" t="s">
        <v>66</v>
      </c>
      <c r="U27" s="15" t="s">
        <v>142</v>
      </c>
      <c r="V27" s="18" t="n">
        <f aca="false">IF(AND(T27="S",ISNUMBER(L27),ISNUMBER(F27)),L27*F27*X27,0)</f>
        <v>238.8</v>
      </c>
      <c r="W27" s="18" t="n">
        <f aca="false">IF(AND(T27="S",ISNUMBER(Q27)),Q27*X27,0)</f>
        <v>129.7914</v>
      </c>
      <c r="X27" s="23" t="n">
        <v>12</v>
      </c>
      <c r="Y27" s="18" t="n">
        <f aca="false">IF(AND(T27="S",ISNUMBER(G27)),G27*X27,0)</f>
        <v>82.8</v>
      </c>
    </row>
    <row r="28" customFormat="false" ht="15" hidden="false" customHeight="false" outlineLevel="0" collapsed="false">
      <c r="A28" s="14" t="s">
        <v>143</v>
      </c>
      <c r="B28" s="15" t="s">
        <v>144</v>
      </c>
      <c r="C28" s="14" t="s">
        <v>145</v>
      </c>
      <c r="D28" s="14" t="s">
        <v>117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64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-1.0255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IFERROR(IF(M28&gt;0,ROUNDUP(Premissas!$B$12/M28,0),"sem lucro"),"")</f>
        <v>164</v>
      </c>
      <c r="S28" s="15" t="s">
        <v>82</v>
      </c>
      <c r="T28" s="23" t="s">
        <v>76</v>
      </c>
      <c r="U28" s="15"/>
      <c r="V28" s="18" t="n">
        <f aca="false">IF(AND(T28="S",ISNUMBER(L28),ISNUMBER(F28)),L28*F28*X28,0)</f>
        <v>0</v>
      </c>
      <c r="W28" s="18" t="n">
        <f aca="false">IF(AND(T28="S",ISNUMBER(Q28)),Q28*X28,0)</f>
        <v>0</v>
      </c>
      <c r="X28" s="23" t="n">
        <v>1</v>
      </c>
      <c r="Y28" s="18" t="n">
        <f aca="false">IF(AND(T28="S",ISNUMBER(G28)),G28*X28,0)</f>
        <v>0</v>
      </c>
    </row>
    <row r="29" customFormat="false" ht="15" hidden="false" customHeight="false" outlineLevel="0" collapsed="false">
      <c r="A29" s="14" t="s">
        <v>146</v>
      </c>
      <c r="B29" s="15" t="s">
        <v>147</v>
      </c>
      <c r="C29" s="14" t="s">
        <v>148</v>
      </c>
      <c r="D29" s="14" t="s">
        <v>117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93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-2.52133333333333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IFERROR(IF(M29&gt;0,ROUNDUP(Premissas!$B$12/M29,0),"sem lucro"),"")</f>
        <v>232</v>
      </c>
      <c r="S29" s="15" t="s">
        <v>82</v>
      </c>
      <c r="T29" s="23" t="s">
        <v>76</v>
      </c>
      <c r="U29" s="15"/>
      <c r="V29" s="18" t="n">
        <f aca="false">IF(AND(T29="S",ISNUMBER(L29),ISNUMBER(F29)),L29*F29*X29,0)</f>
        <v>0</v>
      </c>
      <c r="W29" s="18" t="n">
        <f aca="false">IF(AND(T29="S",ISNUMBER(Q29)),Q29*X29,0)</f>
        <v>0</v>
      </c>
      <c r="X29" s="23" t="n">
        <v>1</v>
      </c>
      <c r="Y29" s="18" t="n">
        <f aca="false">IF(AND(T29="S",ISNUMBER(G29)),G29*X29,0)</f>
        <v>0</v>
      </c>
    </row>
    <row r="30" customFormat="false" ht="15" hidden="false" customHeight="false" outlineLevel="0" collapsed="false">
      <c r="A30" s="14" t="s">
        <v>149</v>
      </c>
      <c r="B30" s="15" t="s">
        <v>150</v>
      </c>
      <c r="C30" s="14" t="s">
        <v>148</v>
      </c>
      <c r="D30" s="14" t="s">
        <v>117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64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-2.04383333333333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IFERROR(IF(M30&gt;0,ROUNDUP(Premissas!$B$12/M30,0),"sem lucro"),"")</f>
        <v>201</v>
      </c>
      <c r="S30" s="15" t="s">
        <v>120</v>
      </c>
      <c r="T30" s="23" t="s">
        <v>76</v>
      </c>
      <c r="U30" s="15"/>
      <c r="V30" s="18" t="n">
        <f aca="false">IF(AND(T30="S",ISNUMBER(L30),ISNUMBER(F30)),L30*F30*X30,0)</f>
        <v>0</v>
      </c>
      <c r="W30" s="18" t="n">
        <f aca="false">IF(AND(T30="S",ISNUMBER(Q30)),Q30*X30,0)</f>
        <v>0</v>
      </c>
      <c r="X30" s="23" t="n">
        <v>1</v>
      </c>
      <c r="Y30" s="18" t="n">
        <f aca="false">IF(AND(T30="S",ISNUMBER(G30)),G30*X30,0)</f>
        <v>0</v>
      </c>
    </row>
    <row r="31" customFormat="false" ht="15" hidden="false" customHeight="false" outlineLevel="0" collapsed="false">
      <c r="A31" s="14" t="s">
        <v>151</v>
      </c>
      <c r="B31" s="15" t="s">
        <v>152</v>
      </c>
      <c r="C31" s="14" t="s">
        <v>153</v>
      </c>
      <c r="D31" s="14" t="s">
        <v>63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64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-0.618833333333333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IFERROR(IF(M31&gt;0,ROUNDUP(Premissas!$B$12/M31,0),"sem lucro"),"")</f>
        <v>156</v>
      </c>
      <c r="S31" s="15" t="s">
        <v>82</v>
      </c>
      <c r="T31" s="23" t="s">
        <v>76</v>
      </c>
      <c r="U31" s="15"/>
      <c r="V31" s="18" t="n">
        <f aca="false">IF(AND(T31="S",ISNUMBER(L31),ISNUMBER(F31)),L31*F31*X31,0)</f>
        <v>0</v>
      </c>
      <c r="W31" s="18" t="n">
        <f aca="false">IF(AND(T31="S",ISNUMBER(Q31)),Q31*X31,0)</f>
        <v>0</v>
      </c>
      <c r="X31" s="23" t="n">
        <v>1</v>
      </c>
      <c r="Y31" s="18" t="n">
        <f aca="false">IF(AND(T31="S",ISNUMBER(G31)),G31*X31,0)</f>
        <v>0</v>
      </c>
    </row>
    <row r="32" customFormat="false" ht="15" hidden="false" customHeight="false" outlineLevel="0" collapsed="false">
      <c r="A32" s="14" t="s">
        <v>154</v>
      </c>
      <c r="B32" s="15" t="s">
        <v>155</v>
      </c>
      <c r="C32" s="14" t="s">
        <v>156</v>
      </c>
      <c r="D32" s="14" t="s">
        <v>157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64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-0.514666666666666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IFERROR(IF(M32&gt;0,ROUNDUP(Premissas!$B$12/M32,0),"sem lucro"),"")</f>
        <v>154</v>
      </c>
      <c r="S32" s="15" t="s">
        <v>158</v>
      </c>
      <c r="T32" s="23" t="s">
        <v>66</v>
      </c>
      <c r="U32" s="15"/>
      <c r="V32" s="18" t="n">
        <f aca="false">IF(AND(T32="S",ISNUMBER(L32),ISNUMBER(F32)),L32*F32*X32,0)</f>
        <v>309.6</v>
      </c>
      <c r="W32" s="18" t="n">
        <f aca="false">IF(AND(T32="S",ISNUMBER(Q32)),Q32*X32,0)</f>
        <v>156.3788</v>
      </c>
      <c r="X32" s="23" t="n">
        <v>1</v>
      </c>
      <c r="Y32" s="18" t="n">
        <f aca="false">IF(AND(T32="S",ISNUMBER(G32)),G32*X32,0)</f>
        <v>110.8</v>
      </c>
    </row>
    <row r="33" customFormat="false" ht="15" hidden="false" customHeight="false" outlineLevel="0" collapsed="false">
      <c r="A33" s="14" t="s">
        <v>159</v>
      </c>
      <c r="B33" s="15" t="s">
        <v>160</v>
      </c>
      <c r="C33" s="14" t="s">
        <v>156</v>
      </c>
      <c r="D33" s="14" t="s">
        <v>63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64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0.421166666666668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IFERROR(IF(M33&gt;0,ROUNDUP(Premissas!$B$12/M33,0),"sem lucro"),"")</f>
        <v>132</v>
      </c>
      <c r="S33" s="15" t="s">
        <v>65</v>
      </c>
      <c r="T33" s="23" t="s">
        <v>66</v>
      </c>
      <c r="U33" s="15"/>
      <c r="V33" s="18" t="n">
        <f aca="false">IF(AND(T33="S",ISNUMBER(L33),ISNUMBER(F33)),L33*F33*X33,0)</f>
        <v>381.6</v>
      </c>
      <c r="W33" s="18" t="n">
        <f aca="false">IF(AND(T33="S",ISNUMBER(Q33)),Q33*X33,0)</f>
        <v>183.1948</v>
      </c>
      <c r="X33" s="23" t="n">
        <v>1</v>
      </c>
      <c r="Y33" s="18" t="n">
        <f aca="false">IF(AND(T33="S",ISNUMBER(G33)),G33*X33,0)</f>
        <v>151.7</v>
      </c>
    </row>
    <row r="34" customFormat="false" ht="15" hidden="false" customHeight="false" outlineLevel="0" collapsed="false">
      <c r="A34" s="14" t="s">
        <v>161</v>
      </c>
      <c r="B34" s="15" t="s">
        <v>162</v>
      </c>
      <c r="C34" s="14" t="s">
        <v>156</v>
      </c>
      <c r="D34" s="14" t="s">
        <v>117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64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-1.36883333333333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IFERROR(IF(M34&gt;0,ROUNDUP(Premissas!$B$12/M34,0),"sem lucro"),"")</f>
        <v>177</v>
      </c>
      <c r="S34" s="15" t="s">
        <v>163</v>
      </c>
      <c r="T34" s="23" t="s">
        <v>66</v>
      </c>
      <c r="U34" s="15" t="s">
        <v>164</v>
      </c>
      <c r="V34" s="18" t="n">
        <f aca="false">IF(AND(T34="S",ISNUMBER(L34),ISNUMBER(F34)),L34*F34*X34,0)</f>
        <v>309.6</v>
      </c>
      <c r="W34" s="18" t="n">
        <f aca="false">IF(AND(T34="S",ISNUMBER(Q34)),Q34*X34,0)</f>
        <v>135.8788</v>
      </c>
      <c r="X34" s="23" t="n">
        <v>1</v>
      </c>
      <c r="Y34" s="18" t="n">
        <f aca="false">IF(AND(T34="S",ISNUMBER(G34)),G34*X34,0)</f>
        <v>131.3</v>
      </c>
    </row>
    <row r="35" customFormat="false" ht="15" hidden="false" customHeight="false" outlineLevel="0" collapsed="false">
      <c r="A35" s="14" t="s">
        <v>165</v>
      </c>
      <c r="B35" s="15" t="s">
        <v>166</v>
      </c>
      <c r="C35" s="14" t="s">
        <v>167</v>
      </c>
      <c r="D35" s="14" t="s">
        <v>168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64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1.122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IFERROR(IF(M35&gt;0,ROUNDUP(Premissas!$B$12/M35,0),"sem lucro"),"")</f>
        <v>120</v>
      </c>
      <c r="S35" s="15" t="s">
        <v>65</v>
      </c>
      <c r="T35" s="23" t="s">
        <v>66</v>
      </c>
      <c r="U35" s="15"/>
      <c r="V35" s="18" t="n">
        <f aca="false">IF(AND(T35="S",ISNUMBER(L35),ISNUMBER(F35)),L35*F35*X35,0)</f>
        <v>202.8</v>
      </c>
      <c r="W35" s="18" t="n">
        <f aca="false">IF(AND(T35="S",ISNUMBER(Q35)),Q35*X35,0)</f>
        <v>100.7334</v>
      </c>
      <c r="X35" s="23" t="n">
        <v>12</v>
      </c>
      <c r="Y35" s="18" t="n">
        <f aca="false">IF(AND(T35="S",ISNUMBER(G35)),G35*X35,0)</f>
        <v>78</v>
      </c>
    </row>
    <row r="36" customFormat="false" ht="15" hidden="false" customHeight="false" outlineLevel="0" collapsed="false">
      <c r="A36" s="14" t="s">
        <v>169</v>
      </c>
      <c r="B36" s="15" t="s">
        <v>170</v>
      </c>
      <c r="C36" s="14" t="s">
        <v>171</v>
      </c>
      <c r="D36" s="14" t="s">
        <v>108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64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-1.738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IFERROR(IF(M36&gt;0,ROUNDUP(Premissas!$B$12/M36,0),"sem lucro"),"")</f>
        <v>196</v>
      </c>
      <c r="S36" s="15" t="s">
        <v>82</v>
      </c>
      <c r="T36" s="23" t="s">
        <v>76</v>
      </c>
      <c r="U36" s="15"/>
      <c r="V36" s="18" t="n">
        <f aca="false">IF(AND(T36="S",ISNUMBER(L36),ISNUMBER(F36)),L36*F36*X36,0)</f>
        <v>0</v>
      </c>
      <c r="W36" s="18" t="n">
        <f aca="false">IF(AND(T36="S",ISNUMBER(Q36)),Q36*X36,0)</f>
        <v>0</v>
      </c>
      <c r="X36" s="23" t="n">
        <v>12</v>
      </c>
      <c r="Y36" s="18" t="n">
        <f aca="false">IF(AND(T36="S",ISNUMBER(G36)),G36*X36,0)</f>
        <v>0</v>
      </c>
    </row>
    <row r="37" customFormat="false" ht="15" hidden="false" customHeight="false" outlineLevel="0" collapsed="false">
      <c r="A37" s="14" t="s">
        <v>172</v>
      </c>
      <c r="B37" s="15" t="s">
        <v>173</v>
      </c>
      <c r="C37" s="14" t="s">
        <v>174</v>
      </c>
      <c r="D37" s="14" t="s">
        <v>63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93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-0.0780000000000003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IFERROR(IF(M37&gt;0,ROUNDUP(Premissas!$B$12/M37,0),"sem lucro"),"")</f>
        <v>146</v>
      </c>
      <c r="S37" s="15" t="s">
        <v>65</v>
      </c>
      <c r="T37" s="23" t="s">
        <v>66</v>
      </c>
      <c r="U37" s="15" t="s">
        <v>175</v>
      </c>
      <c r="V37" s="18" t="n">
        <f aca="false">IF(AND(T37="S",ISNUMBER(L37),ISNUMBER(F37)),L37*F37*X37,0)</f>
        <v>178.5</v>
      </c>
      <c r="W37" s="18" t="n">
        <f aca="false">IF(AND(T37="S",ISNUMBER(Q37)),Q37*X37,0)</f>
        <v>103.37925</v>
      </c>
      <c r="X37" s="23" t="n">
        <v>1</v>
      </c>
      <c r="Y37" s="18" t="n">
        <f aca="false">IF(AND(T37="S",ISNUMBER(G37)),G37*X37,0)</f>
        <v>49.5</v>
      </c>
    </row>
    <row r="38" customFormat="false" ht="15" hidden="false" customHeight="false" outlineLevel="0" collapsed="false">
      <c r="A38" s="14" t="s">
        <v>176</v>
      </c>
      <c r="B38" s="15" t="s">
        <v>177</v>
      </c>
      <c r="C38" s="14" t="s">
        <v>178</v>
      </c>
      <c r="D38" s="14" t="s">
        <v>157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64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-2.173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IFERROR(IF(M38&gt;0,ROUNDUP(Premissas!$B$12/M38,0),"sem lucro"),"")</f>
        <v>206</v>
      </c>
      <c r="S38" s="15" t="s">
        <v>179</v>
      </c>
      <c r="T38" s="23" t="s">
        <v>66</v>
      </c>
      <c r="U38" s="15"/>
      <c r="V38" s="18" t="n">
        <f aca="false">IF(AND(T38="S",ISNUMBER(L38),ISNUMBER(F38)),L38*F38*X38,0)</f>
        <v>309.6</v>
      </c>
      <c r="W38" s="18" t="n">
        <f aca="false">IF(AND(T38="S",ISNUMBER(Q38)),Q38*X38,0)</f>
        <v>116.5788</v>
      </c>
      <c r="X38" s="23" t="n">
        <v>1</v>
      </c>
      <c r="Y38" s="18" t="n">
        <f aca="false">IF(AND(T38="S",ISNUMBER(G38)),G38*X38,0)</f>
        <v>150.6</v>
      </c>
    </row>
    <row r="39" customFormat="false" ht="15" hidden="false" customHeight="false" outlineLevel="0" collapsed="false">
      <c r="A39" s="14" t="s">
        <v>180</v>
      </c>
      <c r="B39" s="15" t="s">
        <v>181</v>
      </c>
      <c r="C39" s="14" t="s">
        <v>178</v>
      </c>
      <c r="D39" s="14" t="s">
        <v>157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64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-1.65633333333333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IFERROR(IF(M39&gt;0,ROUNDUP(Premissas!$B$12/M39,0),"sem lucro"),"")</f>
        <v>187</v>
      </c>
      <c r="S39" s="15" t="s">
        <v>179</v>
      </c>
      <c r="T39" s="23" t="s">
        <v>66</v>
      </c>
      <c r="U39" s="15"/>
      <c r="V39" s="18" t="n">
        <f aca="false">IF(AND(T39="S",ISNUMBER(L39),ISNUMBER(F39)),L39*F39*X39,0)</f>
        <v>309.6</v>
      </c>
      <c r="W39" s="18" t="n">
        <f aca="false">IF(AND(T39="S",ISNUMBER(Q39)),Q39*X39,0)</f>
        <v>128.9788</v>
      </c>
      <c r="X39" s="23" t="n">
        <v>1</v>
      </c>
      <c r="Y39" s="18" t="n">
        <f aca="false">IF(AND(T39="S",ISNUMBER(G39)),G39*X39,0)</f>
        <v>138.2</v>
      </c>
    </row>
    <row r="40" customFormat="false" ht="15" hidden="false" customHeight="false" outlineLevel="0" collapsed="false">
      <c r="A40" s="14" t="s">
        <v>182</v>
      </c>
      <c r="B40" s="15" t="s">
        <v>183</v>
      </c>
      <c r="C40" s="14" t="s">
        <v>178</v>
      </c>
      <c r="D40" s="14" t="s">
        <v>117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93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-3.178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IFERROR(IF(M40&gt;0,ROUNDUP(Premissas!$B$12/M40,0),"sem lucro"),"")</f>
        <v>264</v>
      </c>
      <c r="S40" s="15" t="s">
        <v>184</v>
      </c>
      <c r="T40" s="23" t="s">
        <v>76</v>
      </c>
      <c r="U40" s="15" t="s">
        <v>185</v>
      </c>
      <c r="V40" s="18" t="n">
        <f aca="false">IF(AND(T40="S",ISNUMBER(L40),ISNUMBER(F40)),L40*F40*X40,0)</f>
        <v>0</v>
      </c>
      <c r="W40" s="18" t="n">
        <f aca="false">IF(AND(T40="S",ISNUMBER(Q40)),Q40*X40,0)</f>
        <v>0</v>
      </c>
      <c r="X40" s="23" t="n">
        <v>1</v>
      </c>
      <c r="Y40" s="18" t="n">
        <f aca="false">IF(AND(T40="S",ISNUMBER(G40)),G40*X40,0)</f>
        <v>0</v>
      </c>
    </row>
    <row r="41" customFormat="false" ht="15" hidden="false" customHeight="false" outlineLevel="0" collapsed="false">
      <c r="A41" s="14" t="s">
        <v>186</v>
      </c>
      <c r="B41" s="15" t="s">
        <v>187</v>
      </c>
      <c r="C41" s="14" t="s">
        <v>178</v>
      </c>
      <c r="D41" s="14" t="s">
        <v>117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93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-3.178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IFERROR(IF(M41&gt;0,ROUNDUP(Premissas!$B$12/M41,0),"sem lucro"),"")</f>
        <v>264</v>
      </c>
      <c r="S41" s="15" t="s">
        <v>184</v>
      </c>
      <c r="T41" s="23" t="s">
        <v>76</v>
      </c>
      <c r="U41" s="15" t="s">
        <v>185</v>
      </c>
      <c r="V41" s="18" t="n">
        <f aca="false">IF(AND(T41="S",ISNUMBER(L41),ISNUMBER(F41)),L41*F41*X41,0)</f>
        <v>0</v>
      </c>
      <c r="W41" s="18" t="n">
        <f aca="false">IF(AND(T41="S",ISNUMBER(Q41)),Q41*X41,0)</f>
        <v>0</v>
      </c>
      <c r="X41" s="23" t="n">
        <v>1</v>
      </c>
      <c r="Y41" s="18" t="n">
        <f aca="false">IF(AND(T41="S",ISNUMBER(G41)),G41*X41,0)</f>
        <v>0</v>
      </c>
    </row>
    <row r="42" customFormat="false" ht="15" hidden="false" customHeight="false" outlineLevel="0" collapsed="false">
      <c r="A42" s="14" t="s">
        <v>188</v>
      </c>
      <c r="B42" s="15" t="s">
        <v>189</v>
      </c>
      <c r="C42" s="14" t="s">
        <v>178</v>
      </c>
      <c r="D42" s="14" t="s">
        <v>117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93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-2.79466666666667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IFERROR(IF(M42&gt;0,ROUNDUP(Premissas!$B$12/M42,0),"sem lucro"),"")</f>
        <v>240</v>
      </c>
      <c r="S42" s="15" t="s">
        <v>184</v>
      </c>
      <c r="T42" s="23" t="s">
        <v>76</v>
      </c>
      <c r="U42" s="15"/>
      <c r="V42" s="18" t="n">
        <f aca="false">IF(AND(T42="S",ISNUMBER(L42),ISNUMBER(F42)),L42*F42*X42,0)</f>
        <v>0</v>
      </c>
      <c r="W42" s="18" t="n">
        <f aca="false">IF(AND(T42="S",ISNUMBER(Q42)),Q42*X42,0)</f>
        <v>0</v>
      </c>
      <c r="X42" s="23" t="n">
        <v>1</v>
      </c>
      <c r="Y42" s="18" t="n">
        <f aca="false">IF(AND(T42="S",ISNUMBER(G42)),G42*X42,0)</f>
        <v>0</v>
      </c>
    </row>
    <row r="43" customFormat="false" ht="15" hidden="false" customHeight="false" outlineLevel="0" collapsed="false">
      <c r="A43" s="14" t="s">
        <v>190</v>
      </c>
      <c r="B43" s="15" t="s">
        <v>191</v>
      </c>
      <c r="C43" s="14" t="s">
        <v>178</v>
      </c>
      <c r="D43" s="14" t="s">
        <v>117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93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-2.53633333333333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IFERROR(IF(M43&gt;0,ROUNDUP(Premissas!$B$12/M43,0),"sem lucro"),"")</f>
        <v>226</v>
      </c>
      <c r="S43" s="15" t="s">
        <v>163</v>
      </c>
      <c r="T43" s="23" t="s">
        <v>66</v>
      </c>
      <c r="U43" s="15" t="s">
        <v>192</v>
      </c>
      <c r="V43" s="18" t="n">
        <f aca="false">IF(AND(T43="S",ISNUMBER(L43),ISNUMBER(F43)),L43*F43*X43,0)</f>
        <v>285.6</v>
      </c>
      <c r="W43" s="18" t="n">
        <f aca="false">IF(AND(T43="S",ISNUMBER(Q43)),Q43*X43,0)</f>
        <v>106.4068</v>
      </c>
      <c r="X43" s="23" t="n">
        <v>1</v>
      </c>
      <c r="Y43" s="18" t="n">
        <f aca="false">IF(AND(T43="S",ISNUMBER(G43)),G43*X43,0)</f>
        <v>138.2</v>
      </c>
    </row>
    <row r="44" customFormat="false" ht="15" hidden="false" customHeight="false" outlineLevel="0" collapsed="false">
      <c r="A44" s="14" t="s">
        <v>193</v>
      </c>
      <c r="B44" s="15" t="s">
        <v>194</v>
      </c>
      <c r="C44" s="14" t="s">
        <v>195</v>
      </c>
      <c r="D44" s="14" t="s">
        <v>117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64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-2.82716666666667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IFERROR(IF(M44&gt;0,ROUNDUP(Premissas!$B$12/M44,0),"sem lucro"),"")</f>
        <v>238</v>
      </c>
      <c r="S44" s="15" t="s">
        <v>120</v>
      </c>
      <c r="T44" s="23" t="s">
        <v>76</v>
      </c>
      <c r="U44" s="15"/>
      <c r="V44" s="18" t="n">
        <f aca="false">IF(AND(T44="S",ISNUMBER(L44),ISNUMBER(F44)),L44*F44*X44,0)</f>
        <v>0</v>
      </c>
      <c r="W44" s="18" t="n">
        <f aca="false">IF(AND(T44="S",ISNUMBER(Q44)),Q44*X44,0)</f>
        <v>0</v>
      </c>
      <c r="X44" s="23" t="n">
        <v>1</v>
      </c>
      <c r="Y44" s="18" t="n">
        <f aca="false">IF(AND(T44="S",ISNUMBER(G44)),G44*X44,0)</f>
        <v>0</v>
      </c>
    </row>
    <row r="45" customFormat="false" ht="15" hidden="false" customHeight="false" outlineLevel="0" collapsed="false">
      <c r="A45" s="14" t="s">
        <v>196</v>
      </c>
      <c r="B45" s="15" t="s">
        <v>197</v>
      </c>
      <c r="C45" s="14" t="s">
        <v>198</v>
      </c>
      <c r="D45" s="14" t="s">
        <v>141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64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0.162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IFERROR(IF(M45&gt;0,ROUNDUP(Premissas!$B$12/M45,0),"sem lucro"),"")</f>
        <v>137</v>
      </c>
      <c r="S45" s="15" t="s">
        <v>65</v>
      </c>
      <c r="T45" s="23" t="s">
        <v>66</v>
      </c>
      <c r="U45" s="15"/>
      <c r="V45" s="18" t="n">
        <f aca="false">IF(AND(T45="S",ISNUMBER(L45),ISNUMBER(F45)),L45*F45*X45,0)</f>
        <v>178.8</v>
      </c>
      <c r="W45" s="18" t="n">
        <f aca="false">IF(AND(T45="S",ISNUMBER(Q45)),Q45*X45,0)</f>
        <v>87.7614</v>
      </c>
      <c r="X45" s="23" t="n">
        <v>12</v>
      </c>
      <c r="Y45" s="18" t="n">
        <f aca="false">IF(AND(T45="S",ISNUMBER(G45)),G45*X45,0)</f>
        <v>68.4</v>
      </c>
    </row>
    <row r="46" customFormat="false" ht="26.85" hidden="false" customHeight="false" outlineLevel="0" collapsed="false">
      <c r="A46" s="14" t="s">
        <v>199</v>
      </c>
      <c r="B46" s="15" t="s">
        <v>200</v>
      </c>
      <c r="C46" s="14" t="s">
        <v>201</v>
      </c>
      <c r="D46" s="14" t="s">
        <v>141</v>
      </c>
      <c r="E46" s="14" t="n">
        <v>4</v>
      </c>
      <c r="F46" s="16" t="n">
        <v>1</v>
      </c>
      <c r="G46" s="17" t="n">
        <v>6.2</v>
      </c>
      <c r="H46" s="18" t="n">
        <f aca="false">IF(ISNUMBER(G46),IFERROR(G46/F46,""),"")</f>
        <v>6.2</v>
      </c>
      <c r="I46" s="17" t="n">
        <v>14.9</v>
      </c>
      <c r="J46" s="17" t="n">
        <v>19.9</v>
      </c>
      <c r="K46" s="19" t="s">
        <v>64</v>
      </c>
      <c r="L46" s="20" t="n">
        <v>16.9</v>
      </c>
      <c r="M46" s="18" t="n">
        <f aca="false">IFERROR(L46*(1-Premissas!$B$5)*(1-Premissas!$B$6)-H46-Premissas!$B$7,"")</f>
        <v>8.69445</v>
      </c>
      <c r="N46" s="21" t="n">
        <f aca="false">IFERROR(M46/L46,"")</f>
        <v>0.51446449704142</v>
      </c>
      <c r="O46" s="18" t="n">
        <f aca="false">IFERROR(L46*(1-Premissas!$B$8)-Premissas!$B$9-H46-Premissas!$B$7,"")</f>
        <v>1.422</v>
      </c>
      <c r="P46" s="18" t="n">
        <f aca="false">IFERROR(L46*(1-Premissas!$B$10)-Premissas!$B$11-H46-Premissas!$B$7,"")</f>
        <v>2.32</v>
      </c>
      <c r="Q46" s="18" t="n">
        <f aca="false">IFERROR(M46*F46,"")</f>
        <v>8.69445</v>
      </c>
      <c r="R46" s="22" t="n">
        <f aca="false">IFERROR(IF(M46&gt;0,ROUNDUP(Premissas!$B$12/M46,0),"sem lucro"),"")</f>
        <v>116</v>
      </c>
      <c r="S46" s="15" t="s">
        <v>65</v>
      </c>
      <c r="T46" s="23" t="s">
        <v>66</v>
      </c>
      <c r="U46" s="15" t="s">
        <v>202</v>
      </c>
      <c r="V46" s="18" t="n">
        <f aca="false">IF(AND(T46="S",ISNUMBER(L46),ISNUMBER(F46)),L46*F46*X46,0)</f>
        <v>202.8</v>
      </c>
      <c r="W46" s="18" t="n">
        <f aca="false">IF(AND(T46="S",ISNUMBER(Q46)),Q46*X46,0)</f>
        <v>104.3334</v>
      </c>
      <c r="X46" s="23" t="n">
        <v>12</v>
      </c>
      <c r="Y46" s="18" t="n">
        <f aca="false">IF(AND(T46="S",ISNUMBER(G46)),G46*X46,0)</f>
        <v>74.4</v>
      </c>
    </row>
    <row r="47" customFormat="false" ht="15" hidden="false" customHeight="false" outlineLevel="0" collapsed="false">
      <c r="A47" s="14" t="s">
        <v>203</v>
      </c>
      <c r="B47" s="15" t="s">
        <v>204</v>
      </c>
      <c r="C47" s="14" t="s">
        <v>201</v>
      </c>
      <c r="D47" s="14" t="s">
        <v>141</v>
      </c>
      <c r="E47" s="14" t="n">
        <v>4</v>
      </c>
      <c r="F47" s="16" t="n">
        <v>1</v>
      </c>
      <c r="G47" s="17" t="n">
        <v>6.5</v>
      </c>
      <c r="H47" s="18" t="n">
        <f aca="false">IF(ISNUMBER(G47),IFERROR(G47/F47,""),"")</f>
        <v>6.5</v>
      </c>
      <c r="I47" s="17" t="n">
        <v>14.9</v>
      </c>
      <c r="J47" s="17" t="n">
        <v>19.9</v>
      </c>
      <c r="K47" s="19" t="s">
        <v>64</v>
      </c>
      <c r="L47" s="20" t="n">
        <v>16.9</v>
      </c>
      <c r="M47" s="18" t="n">
        <f aca="false">IFERROR(L47*(1-Premissas!$B$5)*(1-Premissas!$B$6)-H47-Premissas!$B$7,"")</f>
        <v>8.39445</v>
      </c>
      <c r="N47" s="21" t="n">
        <f aca="false">IFERROR(M47/L47,"")</f>
        <v>0.496713017751479</v>
      </c>
      <c r="O47" s="18" t="n">
        <f aca="false">IFERROR(L47*(1-Premissas!$B$8)-Premissas!$B$9-H47-Premissas!$B$7,"")</f>
        <v>1.122</v>
      </c>
      <c r="P47" s="18" t="n">
        <f aca="false">IFERROR(L47*(1-Premissas!$B$10)-Premissas!$B$11-H47-Premissas!$B$7,"")</f>
        <v>2.02</v>
      </c>
      <c r="Q47" s="18" t="n">
        <f aca="false">IFERROR(M47*F47,"")</f>
        <v>8.39445</v>
      </c>
      <c r="R47" s="22" t="n">
        <f aca="false">IFERROR(IF(M47&gt;0,ROUNDUP(Premissas!$B$12/M47,0),"sem lucro"),"")</f>
        <v>120</v>
      </c>
      <c r="S47" s="15" t="s">
        <v>82</v>
      </c>
      <c r="T47" s="23" t="s">
        <v>76</v>
      </c>
      <c r="U47" s="15"/>
      <c r="V47" s="18" t="n">
        <f aca="false">IF(AND(T47="S",ISNUMBER(L47),ISNUMBER(F47)),L47*F47*X47,0)</f>
        <v>0</v>
      </c>
      <c r="W47" s="18" t="n">
        <f aca="false">IF(AND(T47="S",ISNUMBER(Q47)),Q47*X47,0)</f>
        <v>0</v>
      </c>
      <c r="X47" s="23" t="n">
        <v>12</v>
      </c>
      <c r="Y47" s="18" t="n">
        <f aca="false">IF(AND(T47="S",ISNUMBER(G47)),G47*X47,0)</f>
        <v>0</v>
      </c>
    </row>
    <row r="48" customFormat="false" ht="15" hidden="false" customHeight="false" outlineLevel="0" collapsed="false">
      <c r="A48" s="14" t="s">
        <v>205</v>
      </c>
      <c r="B48" s="15" t="s">
        <v>206</v>
      </c>
      <c r="C48" s="14" t="s">
        <v>207</v>
      </c>
      <c r="D48" s="14" t="s">
        <v>117</v>
      </c>
      <c r="E48" s="14" t="n">
        <v>4</v>
      </c>
      <c r="F48" s="16" t="n">
        <v>48</v>
      </c>
      <c r="G48" s="17" t="n">
        <v>252.8</v>
      </c>
      <c r="H48" s="18" t="n">
        <f aca="false">IF(ISNUMBER(G48),IFERROR(G48/F48,""),"")</f>
        <v>5.26666666666667</v>
      </c>
      <c r="I48" s="17" t="n">
        <v>10</v>
      </c>
      <c r="J48" s="17" t="n">
        <v>24.99</v>
      </c>
      <c r="K48" s="19" t="s">
        <v>64</v>
      </c>
      <c r="L48" s="20" t="n">
        <v>14.9</v>
      </c>
      <c r="M48" s="18" t="n">
        <f aca="false">IFERROR(L48*(1-Premissas!$B$5)*(1-Premissas!$B$6)-H48-Premissas!$B$7,"")</f>
        <v>7.74678333333333</v>
      </c>
      <c r="N48" s="21" t="n">
        <f aca="false">IFERROR(M48/L48,"")</f>
        <v>0.519918344519016</v>
      </c>
      <c r="O48" s="18" t="n">
        <f aca="false">IFERROR(L48*(1-Premissas!$B$8)-Premissas!$B$9-H48-Premissas!$B$7,"")</f>
        <v>0.595333333333334</v>
      </c>
      <c r="P48" s="18" t="n">
        <f aca="false">IFERROR(L48*(1-Premissas!$B$10)-Premissas!$B$11-H48-Premissas!$B$7,"")</f>
        <v>1.65333333333334</v>
      </c>
      <c r="Q48" s="18" t="n">
        <f aca="false">IFERROR(M48*F48,"")</f>
        <v>371.8456</v>
      </c>
      <c r="R48" s="22" t="n">
        <f aca="false">IFERROR(IF(M48&gt;0,ROUNDUP(Premissas!$B$12/M48,0),"sem lucro"),"")</f>
        <v>130</v>
      </c>
      <c r="S48" s="15" t="s">
        <v>82</v>
      </c>
      <c r="T48" s="23" t="s">
        <v>76</v>
      </c>
      <c r="U48" s="15" t="s">
        <v>208</v>
      </c>
      <c r="V48" s="18" t="n">
        <f aca="false">IF(AND(T48="S",ISNUMBER(L48),ISNUMBER(F48)),L48*F48*X48,0)</f>
        <v>0</v>
      </c>
      <c r="W48" s="18" t="n">
        <f aca="false">IF(AND(T48="S",ISNUMBER(Q48)),Q48*X48,0)</f>
        <v>0</v>
      </c>
      <c r="X48" s="23" t="n">
        <v>1</v>
      </c>
      <c r="Y48" s="18" t="n">
        <f aca="false">IF(AND(T48="S",ISNUMBER(G48)),G48*X48,0)</f>
        <v>0</v>
      </c>
    </row>
    <row r="49" customFormat="false" ht="15" hidden="false" customHeight="false" outlineLevel="0" collapsed="false">
      <c r="A49" s="14" t="s">
        <v>209</v>
      </c>
      <c r="B49" s="15" t="s">
        <v>210</v>
      </c>
      <c r="C49" s="14" t="s">
        <v>207</v>
      </c>
      <c r="D49" s="14" t="s">
        <v>117</v>
      </c>
      <c r="E49" s="14" t="n">
        <v>4</v>
      </c>
      <c r="F49" s="16" t="n">
        <v>24</v>
      </c>
      <c r="G49" s="17" t="n">
        <v>158.8</v>
      </c>
      <c r="H49" s="18" t="n">
        <f aca="false">IF(ISNUMBER(G49),IFERROR(G49/F49,""),"")</f>
        <v>6.61666666666667</v>
      </c>
      <c r="I49" s="17" t="n">
        <v>10</v>
      </c>
      <c r="J49" s="17" t="n">
        <v>24.99</v>
      </c>
      <c r="K49" s="19" t="s">
        <v>64</v>
      </c>
      <c r="L49" s="20" t="n">
        <v>14.9</v>
      </c>
      <c r="M49" s="18" t="n">
        <f aca="false">IFERROR(L49*(1-Premissas!$B$5)*(1-Premissas!$B$6)-H49-Premissas!$B$7,"")</f>
        <v>6.39678333333333</v>
      </c>
      <c r="N49" s="21" t="n">
        <f aca="false">IFERROR(M49/L49,"")</f>
        <v>0.429314317673378</v>
      </c>
      <c r="O49" s="18" t="n">
        <f aca="false">IFERROR(L49*(1-Premissas!$B$8)-Premissas!$B$9-H49-Premissas!$B$7,"")</f>
        <v>-0.754666666666667</v>
      </c>
      <c r="P49" s="18" t="n">
        <f aca="false">IFERROR(L49*(1-Premissas!$B$10)-Premissas!$B$11-H49-Premissas!$B$7,"")</f>
        <v>0.303333333333335</v>
      </c>
      <c r="Q49" s="18" t="n">
        <f aca="false">IFERROR(M49*F49,"")</f>
        <v>153.5228</v>
      </c>
      <c r="R49" s="22" t="n">
        <f aca="false">IFERROR(IF(M49&gt;0,ROUNDUP(Premissas!$B$12/M49,0),"sem lucro"),"")</f>
        <v>157</v>
      </c>
      <c r="S49" s="15" t="s">
        <v>82</v>
      </c>
      <c r="T49" s="23" t="s">
        <v>76</v>
      </c>
      <c r="U49" s="15"/>
      <c r="V49" s="18" t="n">
        <f aca="false">IF(AND(T49="S",ISNUMBER(L49),ISNUMBER(F49)),L49*F49*X49,0)</f>
        <v>0</v>
      </c>
      <c r="W49" s="18" t="n">
        <f aca="false">IF(AND(T49="S",ISNUMBER(Q49)),Q49*X49,0)</f>
        <v>0</v>
      </c>
      <c r="X49" s="23" t="n">
        <v>1</v>
      </c>
      <c r="Y49" s="18" t="n">
        <f aca="false">IF(AND(T49="S",ISNUMBER(G49)),G49*X49,0)</f>
        <v>0</v>
      </c>
    </row>
    <row r="50" customFormat="false" ht="15" hidden="false" customHeight="false" outlineLevel="0" collapsed="false">
      <c r="A50" s="14" t="s">
        <v>211</v>
      </c>
      <c r="B50" s="15" t="s">
        <v>212</v>
      </c>
      <c r="C50" s="14" t="s">
        <v>207</v>
      </c>
      <c r="D50" s="14" t="s">
        <v>117</v>
      </c>
      <c r="E50" s="14" t="n">
        <v>4</v>
      </c>
      <c r="F50" s="16" t="n">
        <v>48</v>
      </c>
      <c r="G50" s="17" t="n">
        <v>271.6</v>
      </c>
      <c r="H50" s="18" t="n">
        <f aca="false">IF(ISNUMBER(G50),IFERROR(G50/F50,""),"")</f>
        <v>5.65833333333333</v>
      </c>
      <c r="I50" s="17" t="n">
        <v>10</v>
      </c>
      <c r="J50" s="17" t="n">
        <v>24.99</v>
      </c>
      <c r="K50" s="14" t="s">
        <v>93</v>
      </c>
      <c r="L50" s="20" t="n">
        <v>14.9</v>
      </c>
      <c r="M50" s="18" t="n">
        <f aca="false">IFERROR(L50*(1-Premissas!$B$5)*(1-Premissas!$B$6)-H50-Premissas!$B$7,"")</f>
        <v>7.35511666666666</v>
      </c>
      <c r="N50" s="21" t="n">
        <f aca="false">IFERROR(M50/L50,"")</f>
        <v>0.493631991051454</v>
      </c>
      <c r="O50" s="18" t="n">
        <f aca="false">IFERROR(L50*(1-Premissas!$B$8)-Premissas!$B$9-H50-Premissas!$B$7,"")</f>
        <v>0.203666666666666</v>
      </c>
      <c r="P50" s="18" t="n">
        <f aca="false">IFERROR(L50*(1-Premissas!$B$10)-Premissas!$B$11-H50-Premissas!$B$7,"")</f>
        <v>1.26166666666667</v>
      </c>
      <c r="Q50" s="18" t="n">
        <f aca="false">IFERROR(M50*F50,"")</f>
        <v>353.0456</v>
      </c>
      <c r="R50" s="22" t="n">
        <f aca="false">IFERROR(IF(M50&gt;0,ROUNDUP(Premissas!$B$12/M50,0),"sem lucro"),"")</f>
        <v>136</v>
      </c>
      <c r="S50" s="15" t="s">
        <v>213</v>
      </c>
      <c r="T50" s="23" t="s">
        <v>66</v>
      </c>
      <c r="U50" s="15" t="s">
        <v>214</v>
      </c>
      <c r="V50" s="18" t="n">
        <f aca="false">IF(AND(T50="S",ISNUMBER(L50),ISNUMBER(F50)),L50*F50*X50,0)</f>
        <v>715.2</v>
      </c>
      <c r="W50" s="18" t="n">
        <f aca="false">IF(AND(T50="S",ISNUMBER(Q50)),Q50*X50,0)</f>
        <v>353.0456</v>
      </c>
      <c r="X50" s="23" t="n">
        <v>1</v>
      </c>
      <c r="Y50" s="18" t="n">
        <f aca="false">IF(AND(T50="S",ISNUMBER(G50)),G50*X50,0)</f>
        <v>271.6</v>
      </c>
    </row>
    <row r="51" customFormat="false" ht="15" hidden="false" customHeight="false" outlineLevel="0" collapsed="false">
      <c r="A51" s="14" t="s">
        <v>215</v>
      </c>
      <c r="B51" s="15" t="s">
        <v>216</v>
      </c>
      <c r="C51" s="14" t="s">
        <v>217</v>
      </c>
      <c r="D51" s="14" t="s">
        <v>63</v>
      </c>
      <c r="E51" s="14" t="n">
        <v>4</v>
      </c>
      <c r="F51" s="16" t="n">
        <v>18</v>
      </c>
      <c r="G51" s="17" t="n">
        <v>89.6</v>
      </c>
      <c r="H51" s="18" t="n">
        <f aca="false">IF(ISNUMBER(G51),IFERROR(G51/F51,""),"")</f>
        <v>4.97777777777778</v>
      </c>
      <c r="I51" s="17" t="n">
        <v>12.9</v>
      </c>
      <c r="J51" s="17" t="n">
        <v>14.9</v>
      </c>
      <c r="K51" s="19" t="s">
        <v>64</v>
      </c>
      <c r="L51" s="20" t="n">
        <v>13.9</v>
      </c>
      <c r="M51" s="18" t="n">
        <f aca="false">IFERROR(L51*(1-Premissas!$B$5)*(1-Premissas!$B$6)-H51-Premissas!$B$7,"")</f>
        <v>7.09517222222222</v>
      </c>
      <c r="N51" s="21" t="n">
        <f aca="false">IFERROR(M51/L51,"")</f>
        <v>0.510444044764189</v>
      </c>
      <c r="O51" s="18" t="n">
        <f aca="false">IFERROR(L51*(1-Premissas!$B$8)-Premissas!$B$9-H51-Premissas!$B$7,"")</f>
        <v>0.00422222222222324</v>
      </c>
      <c r="P51" s="18" t="n">
        <f aca="false">IFERROR(L51*(1-Premissas!$B$10)-Premissas!$B$11-H51-Premissas!$B$7,"")</f>
        <v>1.14222222222222</v>
      </c>
      <c r="Q51" s="18" t="n">
        <f aca="false">IFERROR(M51*F51,"")</f>
        <v>127.7131</v>
      </c>
      <c r="R51" s="22" t="n">
        <f aca="false">IFERROR(IF(M51&gt;0,ROUNDUP(Premissas!$B$12/M51,0),"sem lucro"),"")</f>
        <v>141</v>
      </c>
      <c r="S51" s="15" t="s">
        <v>82</v>
      </c>
      <c r="T51" s="23" t="s">
        <v>76</v>
      </c>
      <c r="U51" s="15" t="s">
        <v>218</v>
      </c>
      <c r="V51" s="18" t="n">
        <f aca="false">IF(AND(T51="S",ISNUMBER(L51),ISNUMBER(F51)),L51*F51*X51,0)</f>
        <v>0</v>
      </c>
      <c r="W51" s="18" t="n">
        <f aca="false">IF(AND(T51="S",ISNUMBER(Q51)),Q51*X51,0)</f>
        <v>0</v>
      </c>
      <c r="X51" s="23" t="n">
        <v>1</v>
      </c>
      <c r="Y51" s="18" t="n">
        <f aca="false">IF(AND(T51="S",ISNUMBER(G51)),G51*X51,0)</f>
        <v>0</v>
      </c>
    </row>
    <row r="52" customFormat="false" ht="15" hidden="false" customHeight="false" outlineLevel="0" collapsed="false">
      <c r="A52" s="14" t="s">
        <v>219</v>
      </c>
      <c r="B52" s="15" t="s">
        <v>220</v>
      </c>
      <c r="C52" s="14" t="s">
        <v>217</v>
      </c>
      <c r="D52" s="14" t="s">
        <v>63</v>
      </c>
      <c r="E52" s="14" t="n">
        <v>4</v>
      </c>
      <c r="F52" s="16" t="n">
        <v>18</v>
      </c>
      <c r="G52" s="17" t="n">
        <v>89.6</v>
      </c>
      <c r="H52" s="18" t="n">
        <f aca="false">IF(ISNUMBER(G52),IFERROR(G52/F52,""),"")</f>
        <v>4.97777777777778</v>
      </c>
      <c r="I52" s="17" t="n">
        <v>12.9</v>
      </c>
      <c r="J52" s="17" t="n">
        <v>14.9</v>
      </c>
      <c r="K52" s="19" t="s">
        <v>64</v>
      </c>
      <c r="L52" s="20" t="n">
        <v>13.9</v>
      </c>
      <c r="M52" s="18" t="n">
        <f aca="false">IFERROR(L52*(1-Premissas!$B$5)*(1-Premissas!$B$6)-H52-Premissas!$B$7,"")</f>
        <v>7.09517222222222</v>
      </c>
      <c r="N52" s="21" t="n">
        <f aca="false">IFERROR(M52/L52,"")</f>
        <v>0.510444044764189</v>
      </c>
      <c r="O52" s="18" t="n">
        <f aca="false">IFERROR(L52*(1-Premissas!$B$8)-Premissas!$B$9-H52-Premissas!$B$7,"")</f>
        <v>0.00422222222222324</v>
      </c>
      <c r="P52" s="18" t="n">
        <f aca="false">IFERROR(L52*(1-Premissas!$B$10)-Premissas!$B$11-H52-Premissas!$B$7,"")</f>
        <v>1.14222222222222</v>
      </c>
      <c r="Q52" s="18" t="n">
        <f aca="false">IFERROR(M52*F52,"")</f>
        <v>127.7131</v>
      </c>
      <c r="R52" s="22" t="n">
        <f aca="false">IFERROR(IF(M52&gt;0,ROUNDUP(Premissas!$B$12/M52,0),"sem lucro"),"")</f>
        <v>141</v>
      </c>
      <c r="S52" s="15" t="s">
        <v>82</v>
      </c>
      <c r="T52" s="23" t="s">
        <v>76</v>
      </c>
      <c r="U52" s="15" t="s">
        <v>218</v>
      </c>
      <c r="V52" s="18" t="n">
        <f aca="false">IF(AND(T52="S",ISNUMBER(L52),ISNUMBER(F52)),L52*F52*X52,0)</f>
        <v>0</v>
      </c>
      <c r="W52" s="18" t="n">
        <f aca="false">IF(AND(T52="S",ISNUMBER(Q52)),Q52*X52,0)</f>
        <v>0</v>
      </c>
      <c r="X52" s="23" t="n">
        <v>1</v>
      </c>
      <c r="Y52" s="18" t="n">
        <f aca="false">IF(AND(T52="S",ISNUMBER(G52)),G52*X52,0)</f>
        <v>0</v>
      </c>
    </row>
    <row r="53" customFormat="false" ht="39.55" hidden="false" customHeight="false" outlineLevel="0" collapsed="false">
      <c r="A53" s="14" t="s">
        <v>221</v>
      </c>
      <c r="B53" s="15" t="s">
        <v>222</v>
      </c>
      <c r="C53" s="14" t="s">
        <v>223</v>
      </c>
      <c r="D53" s="14" t="s">
        <v>224</v>
      </c>
      <c r="E53" s="14" t="n">
        <v>4</v>
      </c>
      <c r="F53" s="16" t="n">
        <v>1</v>
      </c>
      <c r="G53" s="17" t="n">
        <v>6.8</v>
      </c>
      <c r="H53" s="18" t="n">
        <f aca="false">IF(ISNUMBER(G53),IFERROR(G53/F53,""),"")</f>
        <v>6.8</v>
      </c>
      <c r="I53" s="17" t="n">
        <v>19.9</v>
      </c>
      <c r="J53" s="17" t="n">
        <v>29.9</v>
      </c>
      <c r="K53" s="19" t="s">
        <v>64</v>
      </c>
      <c r="L53" s="20" t="n">
        <v>24.9</v>
      </c>
      <c r="M53" s="18" t="n">
        <f aca="false">IFERROR(L53*(1-Premissas!$B$5)*(1-Premissas!$B$6)-H53-Premissas!$B$7,"")</f>
        <v>15.61845</v>
      </c>
      <c r="N53" s="21" t="n">
        <f aca="false">IFERROR(M53/L53,"")</f>
        <v>0.627246987951807</v>
      </c>
      <c r="O53" s="18" t="n">
        <f aca="false">IFERROR(L53*(1-Premissas!$B$8)-Premissas!$B$9-H53-Premissas!$B$7,"")</f>
        <v>7.862</v>
      </c>
      <c r="P53" s="18" t="n">
        <f aca="false">IFERROR(L53*(1-Premissas!$B$10)-Premissas!$B$11-H53-Premissas!$B$7,"")</f>
        <v>8.12</v>
      </c>
      <c r="Q53" s="18" t="n">
        <f aca="false">IFERROR(M53*F53,"")</f>
        <v>15.61845</v>
      </c>
      <c r="R53" s="22" t="n">
        <f aca="false">IFERROR(IF(M53&gt;0,ROUNDUP(Premissas!$B$12/M53,0),"sem lucro"),"")</f>
        <v>65</v>
      </c>
      <c r="S53" s="15" t="s">
        <v>65</v>
      </c>
      <c r="T53" s="23" t="s">
        <v>66</v>
      </c>
      <c r="U53" s="15" t="s">
        <v>225</v>
      </c>
      <c r="V53" s="18" t="n">
        <f aca="false">IF(AND(T53="S",ISNUMBER(L53),ISNUMBER(F53)),L53*F53*X53,0)</f>
        <v>298.8</v>
      </c>
      <c r="W53" s="18" t="n">
        <f aca="false">IF(AND(T53="S",ISNUMBER(Q53)),Q53*X53,0)</f>
        <v>187.4214</v>
      </c>
      <c r="X53" s="23" t="n">
        <v>12</v>
      </c>
      <c r="Y53" s="18" t="n">
        <f aca="false">IF(AND(T53="S",ISNUMBER(G53)),G53*X53,0)</f>
        <v>81.6</v>
      </c>
    </row>
    <row r="54" customFormat="false" ht="15" hidden="false" customHeight="false" outlineLevel="0" collapsed="false">
      <c r="A54" s="14" t="s">
        <v>226</v>
      </c>
      <c r="B54" s="15" t="s">
        <v>227</v>
      </c>
      <c r="C54" s="14" t="s">
        <v>223</v>
      </c>
      <c r="D54" s="14" t="s">
        <v>224</v>
      </c>
      <c r="E54" s="14" t="n">
        <v>4</v>
      </c>
      <c r="F54" s="16" t="n">
        <v>1</v>
      </c>
      <c r="G54" s="17" t="n">
        <v>6.8</v>
      </c>
      <c r="H54" s="18" t="n">
        <f aca="false">IF(ISNUMBER(G54),IFERROR(G54/F54,""),"")</f>
        <v>6.8</v>
      </c>
      <c r="I54" s="17" t="n">
        <v>19.9</v>
      </c>
      <c r="J54" s="17" t="n">
        <v>29.9</v>
      </c>
      <c r="K54" s="19" t="s">
        <v>64</v>
      </c>
      <c r="L54" s="20" t="n">
        <v>24.9</v>
      </c>
      <c r="M54" s="18" t="n">
        <f aca="false">IFERROR(L54*(1-Premissas!$B$5)*(1-Premissas!$B$6)-H54-Premissas!$B$7,"")</f>
        <v>15.61845</v>
      </c>
      <c r="N54" s="21" t="n">
        <f aca="false">IFERROR(M54/L54,"")</f>
        <v>0.627246987951807</v>
      </c>
      <c r="O54" s="18" t="n">
        <f aca="false">IFERROR(L54*(1-Premissas!$B$8)-Premissas!$B$9-H54-Premissas!$B$7,"")</f>
        <v>7.862</v>
      </c>
      <c r="P54" s="18" t="n">
        <f aca="false">IFERROR(L54*(1-Premissas!$B$10)-Premissas!$B$11-H54-Premissas!$B$7,"")</f>
        <v>8.12</v>
      </c>
      <c r="Q54" s="18" t="n">
        <f aca="false">IFERROR(M54*F54,"")</f>
        <v>15.61845</v>
      </c>
      <c r="R54" s="22" t="n">
        <f aca="false">IFERROR(IF(M54&gt;0,ROUNDUP(Premissas!$B$12/M54,0),"sem lucro"),"")</f>
        <v>65</v>
      </c>
      <c r="S54" s="15" t="s">
        <v>65</v>
      </c>
      <c r="T54" s="23" t="s">
        <v>66</v>
      </c>
      <c r="U54" s="15" t="s">
        <v>228</v>
      </c>
      <c r="V54" s="18" t="n">
        <f aca="false">IF(AND(T54="S",ISNUMBER(L54),ISNUMBER(F54)),L54*F54*X54,0)</f>
        <v>298.8</v>
      </c>
      <c r="W54" s="18" t="n">
        <f aca="false">IF(AND(T54="S",ISNUMBER(Q54)),Q54*X54,0)</f>
        <v>187.4214</v>
      </c>
      <c r="X54" s="23" t="n">
        <v>12</v>
      </c>
      <c r="Y54" s="18" t="n">
        <f aca="false">IF(AND(T54="S",ISNUMBER(G54)),G54*X54,0)</f>
        <v>81.6</v>
      </c>
    </row>
    <row r="55" customFormat="false" ht="15" hidden="false" customHeight="false" outlineLevel="0" collapsed="false">
      <c r="A55" s="14" t="s">
        <v>229</v>
      </c>
      <c r="B55" s="15" t="s">
        <v>230</v>
      </c>
      <c r="C55" s="14" t="s">
        <v>223</v>
      </c>
      <c r="D55" s="14" t="s">
        <v>141</v>
      </c>
      <c r="E55" s="14" t="n">
        <v>4</v>
      </c>
      <c r="F55" s="16" t="n">
        <v>1</v>
      </c>
      <c r="G55" s="17" t="n">
        <v>6.6</v>
      </c>
      <c r="H55" s="18" t="n">
        <f aca="false">IF(ISNUMBER(G55),IFERROR(G55/F55,""),"")</f>
        <v>6.6</v>
      </c>
      <c r="I55" s="17" t="n">
        <v>19.9</v>
      </c>
      <c r="J55" s="17" t="n">
        <v>24.9</v>
      </c>
      <c r="K55" s="19" t="s">
        <v>64</v>
      </c>
      <c r="L55" s="20" t="n">
        <v>22.9</v>
      </c>
      <c r="M55" s="18" t="n">
        <f aca="false">IFERROR(L55*(1-Premissas!$B$5)*(1-Premissas!$B$6)-H55-Premissas!$B$7,"")</f>
        <v>13.93745</v>
      </c>
      <c r="N55" s="21" t="n">
        <f aca="false">IFERROR(M55/L55,"")</f>
        <v>0.608622270742358</v>
      </c>
      <c r="O55" s="18" t="n">
        <f aca="false">IFERROR(L55*(1-Premissas!$B$8)-Premissas!$B$9-H55-Premissas!$B$7,"")</f>
        <v>6.302</v>
      </c>
      <c r="P55" s="18" t="n">
        <f aca="false">IFERROR(L55*(1-Premissas!$B$10)-Premissas!$B$11-H55-Premissas!$B$7,"")</f>
        <v>6.72</v>
      </c>
      <c r="Q55" s="18" t="n">
        <f aca="false">IFERROR(M55*F55,"")</f>
        <v>13.93745</v>
      </c>
      <c r="R55" s="22" t="n">
        <f aca="false">IFERROR(IF(M55&gt;0,ROUNDUP(Premissas!$B$12/M55,0),"sem lucro"),"")</f>
        <v>72</v>
      </c>
      <c r="S55" s="15" t="s">
        <v>231</v>
      </c>
      <c r="T55" s="23" t="s">
        <v>66</v>
      </c>
      <c r="U55" s="15" t="s">
        <v>232</v>
      </c>
      <c r="V55" s="18" t="n">
        <f aca="false">IF(AND(T55="S",ISNUMBER(L55),ISNUMBER(F55)),L55*F55*X55,0)</f>
        <v>274.8</v>
      </c>
      <c r="W55" s="18" t="n">
        <f aca="false">IF(AND(T55="S",ISNUMBER(Q55)),Q55*X55,0)</f>
        <v>167.2494</v>
      </c>
      <c r="X55" s="23" t="n">
        <v>12</v>
      </c>
      <c r="Y55" s="18" t="n">
        <f aca="false">IF(AND(T55="S",ISNUMBER(G55)),G55*X55,0)</f>
        <v>79.2</v>
      </c>
    </row>
  </sheetData>
  <autoFilter ref="A1:Y55"/>
  <conditionalFormatting sqref="M2:M55">
    <cfRule type="cellIs" priority="2" operator="lessThan" aboveAverage="0" equalAverage="0" bottom="0" percent="0" rank="0" text="" dxfId="40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55">
    <cfRule type="cellIs" priority="4" operator="lessThan" aboveAverage="0" equalAverage="0" bottom="0" percent="0" rank="0" text="" dxfId="40">
      <formula>0</formula>
    </cfRule>
  </conditionalFormatting>
  <conditionalFormatting sqref="P2:P55">
    <cfRule type="cellIs" priority="5" operator="lessThan" aboveAverage="0" equalAverage="0" bottom="0" percent="0" rank="0" text="" dxfId="40">
      <formula>0</formula>
    </cfRule>
  </conditionalFormatting>
  <dataValidations count="1">
    <dataValidation allowBlank="true" errorStyle="stop" operator="between" showDropDown="false" showErrorMessage="false" showInputMessage="false" sqref="T2:T55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233</v>
      </c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3" t="s">
        <v>241</v>
      </c>
      <c r="J1" s="13" t="s">
        <v>242</v>
      </c>
      <c r="K1" s="13" t="s">
        <v>243</v>
      </c>
      <c r="L1" s="13" t="s">
        <v>244</v>
      </c>
    </row>
    <row r="2" customFormat="false" ht="15" hidden="false" customHeight="false" outlineLevel="0" collapsed="false">
      <c r="A2" s="24" t="s">
        <v>245</v>
      </c>
      <c r="B2" s="25" t="s">
        <v>131</v>
      </c>
      <c r="C2" s="25" t="s">
        <v>137</v>
      </c>
      <c r="D2" s="25" t="s">
        <v>135</v>
      </c>
      <c r="E2" s="26"/>
      <c r="F2" s="26"/>
      <c r="G2" s="27" t="n">
        <f aca="false">IFERROR(INDEX(Produtos!$H$2:$H$55,MATCH(B2,Produtos!$A$2:$A$55,0)),0)+IFERROR(INDEX(Produtos!$H$2:$H$55,MATCH(C2,Produtos!$A$2:$A$55,0)),0)+IFERROR(INDEX(Produtos!$H$2:$H$55,MATCH(D2,Produtos!$A$2:$A$55,0)),0)+IFERROR(INDEX(Produtos!$H$2:$H$55,MATCH(E2,Produtos!$A$2:$A$55,0)),0)+IFERROR(INDEX(Produtos!$H$2:$H$55,MATCH(F2,Produtos!$A$2:$A$55,0)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17.762</v>
      </c>
      <c r="K2" s="27" t="n">
        <f aca="false">H2*(1-Premissas!$B$10)-Premissas!$B$11-G2-Premissas!$B$7</f>
        <v>16.02</v>
      </c>
      <c r="L2" s="29" t="n">
        <f aca="false">IF(I2&gt;0,ROUNDUP(Premissas!$B$12/I2,0),"sem lucro")</f>
        <v>37</v>
      </c>
    </row>
    <row r="3" customFormat="false" ht="15" hidden="false" customHeight="false" outlineLevel="0" collapsed="false">
      <c r="A3" s="24" t="s">
        <v>246</v>
      </c>
      <c r="B3" s="25" t="s">
        <v>68</v>
      </c>
      <c r="C3" s="25" t="s">
        <v>83</v>
      </c>
      <c r="D3" s="25" t="s">
        <v>85</v>
      </c>
      <c r="E3" s="25" t="s">
        <v>172</v>
      </c>
      <c r="F3" s="26"/>
      <c r="G3" s="27" t="n">
        <f aca="false">IFERROR(INDEX(Produtos!$H$2:$H$55,MATCH(B3,Produtos!$A$2:$A$55,0)),0)+IFERROR(INDEX(Produtos!$H$2:$H$55,MATCH(C3,Produtos!$A$2:$A$55,0)),0)+IFERROR(INDEX(Produtos!$H$2:$H$55,MATCH(D3,Produtos!$A$2:$A$55,0)),0)+IFERROR(INDEX(Produtos!$H$2:$H$55,MATCH(E3,Produtos!$A$2:$A$55,0)),0)+IFERROR(INDEX(Produtos!$H$2:$H$55,MATCH(F3,Produtos!$A$2:$A$55,0)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13.0661666666667</v>
      </c>
      <c r="K3" s="27" t="n">
        <f aca="false">H3*(1-Premissas!$B$10)-Premissas!$B$11-G3-Premissas!$B$7</f>
        <v>11.3241666666667</v>
      </c>
      <c r="L3" s="29" t="n">
        <f aca="false">IF(I3&gt;0,ROUNDUP(Premissas!$B$12/I3,0),"sem lucro")</f>
        <v>45</v>
      </c>
    </row>
    <row r="4" customFormat="false" ht="15" hidden="false" customHeight="false" outlineLevel="0" collapsed="false">
      <c r="A4" s="24" t="s">
        <v>247</v>
      </c>
      <c r="B4" s="25" t="s">
        <v>90</v>
      </c>
      <c r="C4" s="25" t="s">
        <v>94</v>
      </c>
      <c r="D4" s="25" t="s">
        <v>98</v>
      </c>
      <c r="E4" s="26"/>
      <c r="F4" s="26"/>
      <c r="G4" s="27" t="n">
        <f aca="false">IFERROR(INDEX(Produtos!$H$2:$H$55,MATCH(B4,Produtos!$A$2:$A$55,0)),0)+IFERROR(INDEX(Produtos!$H$2:$H$55,MATCH(C4,Produtos!$A$2:$A$55,0)),0)+IFERROR(INDEX(Produtos!$H$2:$H$55,MATCH(D4,Produtos!$A$2:$A$55,0)),0)+IFERROR(INDEX(Produtos!$H$2:$H$55,MATCH(E4,Produtos!$A$2:$A$55,0)),0)+IFERROR(INDEX(Produtos!$H$2:$H$55,MATCH(F4,Produtos!$A$2:$A$55,0)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10.762</v>
      </c>
      <c r="K4" s="27" t="n">
        <f aca="false">H4*(1-Premissas!$B$10)-Premissas!$B$11-G4-Premissas!$B$7</f>
        <v>9.82</v>
      </c>
      <c r="L4" s="29" t="n">
        <f aca="false">IF(I4&gt;0,ROUNDUP(Premissas!$B$12/I4,0),"sem lucro")</f>
        <v>52</v>
      </c>
    </row>
    <row r="5" customFormat="false" ht="15" hidden="false" customHeight="false" outlineLevel="0" collapsed="false">
      <c r="A5" s="24" t="s">
        <v>248</v>
      </c>
      <c r="B5" s="25" t="s">
        <v>127</v>
      </c>
      <c r="C5" s="25" t="s">
        <v>127</v>
      </c>
      <c r="D5" s="25" t="s">
        <v>127</v>
      </c>
      <c r="E5" s="25" t="s">
        <v>123</v>
      </c>
      <c r="F5" s="25" t="s">
        <v>154</v>
      </c>
      <c r="G5" s="27" t="n">
        <f aca="false">IFERROR(INDEX(Produtos!$H$2:$H$55,MATCH(B5,Produtos!$A$2:$A$55,0)),0)+IFERROR(INDEX(Produtos!$H$2:$H$55,MATCH(C5,Produtos!$A$2:$A$55,0)),0)+IFERROR(INDEX(Produtos!$H$2:$H$55,MATCH(D5,Produtos!$A$2:$A$55,0)),0)+IFERROR(INDEX(Produtos!$H$2:$H$55,MATCH(E5,Produtos!$A$2:$A$55,0)),0)+IFERROR(INDEX(Produtos!$H$2:$H$55,MATCH(F5,Produtos!$A$2:$A$55,0)),0)</f>
        <v>22.64</v>
      </c>
      <c r="H5" s="28" t="n">
        <v>44.9</v>
      </c>
      <c r="I5" s="27" t="n">
        <f aca="false">H5*(1-Premissas!$B$5)*(1-Premissas!$B$6)-G5-Premissas!$B$7</f>
        <v>18.58845</v>
      </c>
      <c r="J5" s="27" t="n">
        <f aca="false">H5*(1-Premissas!$B$8)-Premissas!$B$9-G5-Premissas!$B$7</f>
        <v>9.622</v>
      </c>
      <c r="K5" s="27" t="n">
        <f aca="false">H5*(1-Premissas!$B$10)-Premissas!$B$11-G5-Premissas!$B$7</f>
        <v>8.28</v>
      </c>
      <c r="L5" s="29" t="n">
        <f aca="false">IF(I5&gt;0,ROUNDUP(Premissas!$B$12/I5,0),"sem lucro")</f>
        <v>54</v>
      </c>
    </row>
    <row r="6" customFormat="false" ht="15" hidden="false" customHeight="false" outlineLevel="0" collapsed="false">
      <c r="A6" s="24" t="s">
        <v>249</v>
      </c>
      <c r="B6" s="25" t="s">
        <v>176</v>
      </c>
      <c r="C6" s="25" t="s">
        <v>180</v>
      </c>
      <c r="D6" s="25" t="s">
        <v>154</v>
      </c>
      <c r="E6" s="26"/>
      <c r="F6" s="26"/>
      <c r="G6" s="27" t="n">
        <f aca="false">IFERROR(INDEX(Produtos!$H$2:$H$55,MATCH(B6,Produtos!$A$2:$A$55,0)),0)+IFERROR(INDEX(Produtos!$H$2:$H$55,MATCH(C6,Produtos!$A$2:$A$55,0)),0)+IFERROR(INDEX(Produtos!$H$2:$H$55,MATCH(D6,Produtos!$A$2:$A$55,0)),0)+IFERROR(INDEX(Produtos!$H$2:$H$55,MATCH(E6,Produtos!$A$2:$A$55,0)),0)+IFERROR(INDEX(Produtos!$H$2:$H$55,MATCH(F6,Produtos!$A$2:$A$55,0)),0)</f>
        <v>16.65</v>
      </c>
      <c r="H6" s="28" t="n">
        <v>34.9</v>
      </c>
      <c r="I6" s="27" t="n">
        <f aca="false">H6*(1-Premissas!$B$5)*(1-Premissas!$B$6)-G6-Premissas!$B$7</f>
        <v>15.17345</v>
      </c>
      <c r="J6" s="27" t="n">
        <f aca="false">H6*(1-Premissas!$B$8)-Premissas!$B$9-G6-Premissas!$B$7</f>
        <v>6.812</v>
      </c>
      <c r="K6" s="27" t="n">
        <f aca="false">H6*(1-Premissas!$B$10)-Premissas!$B$11-G6-Premissas!$B$7</f>
        <v>6.27</v>
      </c>
      <c r="L6" s="29" t="n">
        <f aca="false">IF(I6&gt;0,ROUNDUP(Premissas!$B$12/I6,0),"sem lucro")</f>
        <v>66</v>
      </c>
    </row>
    <row r="7" customFormat="false" ht="15" hidden="false" customHeight="false" outlineLevel="0" collapsed="false">
      <c r="A7" s="24" t="s">
        <v>250</v>
      </c>
      <c r="B7" s="25" t="s">
        <v>146</v>
      </c>
      <c r="C7" s="25" t="s">
        <v>149</v>
      </c>
      <c r="D7" s="25" t="s">
        <v>143</v>
      </c>
      <c r="E7" s="26"/>
      <c r="F7" s="26"/>
      <c r="G7" s="27" t="n">
        <f aca="false">IFERROR(INDEX(Produtos!$H$2:$H$55,MATCH(B7,Produtos!$A$2:$A$55,0)),0)+IFERROR(INDEX(Produtos!$H$2:$H$55,MATCH(C7,Produtos!$A$2:$A$55,0)),0)+IFERROR(INDEX(Produtos!$H$2:$H$55,MATCH(D7,Produtos!$A$2:$A$55,0)),0)+IFERROR(INDEX(Produtos!$H$2:$H$55,MATCH(E7,Produtos!$A$2:$A$55,0)),0)+IFERROR(INDEX(Produtos!$H$2:$H$55,MATCH(F7,Produtos!$A$2:$A$55,0)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6.44533333333333</v>
      </c>
      <c r="K7" s="27" t="n">
        <f aca="false">H7*(1-Premissas!$B$10)-Premissas!$B$11-G7-Premissas!$B$7</f>
        <v>5.90333333333334</v>
      </c>
      <c r="L7" s="29" t="n">
        <f aca="false">IF(I7&gt;0,ROUNDUP(Premissas!$B$12/I7,0),"sem lucro")</f>
        <v>68</v>
      </c>
    </row>
    <row r="8" customFormat="false" ht="15" hidden="false" customHeight="false" outlineLevel="0" collapsed="false">
      <c r="A8" s="24" t="s">
        <v>251</v>
      </c>
      <c r="B8" s="25" t="s">
        <v>221</v>
      </c>
      <c r="C8" s="25" t="s">
        <v>229</v>
      </c>
      <c r="D8" s="26"/>
      <c r="E8" s="26"/>
      <c r="F8" s="26"/>
      <c r="G8" s="27" t="n">
        <f aca="false">IFERROR(INDEX(Produtos!$H$2:$H$55,MATCH(B8,Produtos!$A$2:$A$55,0)),0)+IFERROR(INDEX(Produtos!$H$2:$H$55,MATCH(C8,Produtos!$A$2:$A$55,0)),0)+IFERROR(INDEX(Produtos!$H$2:$H$55,MATCH(D8,Produtos!$A$2:$A$55,0)),0)+IFERROR(INDEX(Produtos!$H$2:$H$55,MATCH(E8,Produtos!$A$2:$A$55,0)),0)+IFERROR(INDEX(Produtos!$H$2:$H$55,MATCH(F8,Produtos!$A$2:$A$55,0)),0)</f>
        <v>13.4</v>
      </c>
      <c r="H8" s="28" t="n">
        <v>44.9</v>
      </c>
      <c r="I8" s="27" t="n">
        <f aca="false">H8*(1-Premissas!$B$5)*(1-Premissas!$B$6)-G8-Premissas!$B$7</f>
        <v>27.82845</v>
      </c>
      <c r="J8" s="27" t="n">
        <f aca="false">H8*(1-Premissas!$B$8)-Premissas!$B$9-G8-Premissas!$B$7</f>
        <v>18.862</v>
      </c>
      <c r="K8" s="27" t="n">
        <f aca="false">H8*(1-Premissas!$B$10)-Premissas!$B$11-G8-Premissas!$B$7</f>
        <v>17.52</v>
      </c>
      <c r="L8" s="29" t="n">
        <f aca="false">IF(I8&gt;0,ROUNDUP(Premissas!$B$12/I8,0),"sem lucro")</f>
        <v>36</v>
      </c>
    </row>
    <row r="9" customFormat="false" ht="15" hidden="false" customHeight="false" outlineLevel="0" collapsed="false">
      <c r="A9" s="24" t="s">
        <v>252</v>
      </c>
      <c r="B9" s="25" t="s">
        <v>226</v>
      </c>
      <c r="C9" s="25" t="s">
        <v>226</v>
      </c>
      <c r="D9" s="26"/>
      <c r="E9" s="26"/>
      <c r="F9" s="26"/>
      <c r="G9" s="27" t="n">
        <f aca="false">IFERROR(INDEX(Produtos!$H$2:$H$55,MATCH(B9,Produtos!$A$2:$A$55,0)),0)+IFERROR(INDEX(Produtos!$H$2:$H$55,MATCH(C9,Produtos!$A$2:$A$55,0)),0)+IFERROR(INDEX(Produtos!$H$2:$H$55,MATCH(D9,Produtos!$A$2:$A$55,0)),0)+IFERROR(INDEX(Produtos!$H$2:$H$55,MATCH(E9,Produtos!$A$2:$A$55,0)),0)+IFERROR(INDEX(Produtos!$H$2:$H$55,MATCH(F9,Produtos!$A$2:$A$55,0)),0)</f>
        <v>13.6</v>
      </c>
      <c r="H9" s="28" t="n">
        <v>44.9</v>
      </c>
      <c r="I9" s="27" t="n">
        <f aca="false">H9*(1-Premissas!$B$5)*(1-Premissas!$B$6)-G9-Premissas!$B$7</f>
        <v>27.62845</v>
      </c>
      <c r="J9" s="27" t="n">
        <f aca="false">H9*(1-Premissas!$B$8)-Premissas!$B$9-G9-Premissas!$B$7</f>
        <v>18.662</v>
      </c>
      <c r="K9" s="27" t="n">
        <f aca="false">H9*(1-Premissas!$B$10)-Premissas!$B$11-G9-Premissas!$B$7</f>
        <v>17.32</v>
      </c>
      <c r="L9" s="29" t="n">
        <f aca="false">IF(I9&gt;0,ROUNDUP(Premissas!$B$12/I9,0),"sem lucro")</f>
        <v>37</v>
      </c>
    </row>
    <row r="11" customFormat="false" ht="15" hidden="false" customHeight="false" outlineLevel="0" collapsed="false">
      <c r="A11" s="2" t="s">
        <v>253</v>
      </c>
    </row>
  </sheetData>
  <conditionalFormatting sqref="I2:K9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2026-09-24T18:15:10Z</dcterms:created>
  <dc:creator>openpyxl</dc:creator>
  <dc:description/>
  <dc:language>en-US</dc:language>
  <cp:lastModifiedBy/>
  <dcterms:modified xsi:type="dcterms:W3CDTF">2026-09-24T18:15:10Z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