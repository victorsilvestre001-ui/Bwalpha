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</sheets>
  <definedNames>
    <definedName function="false" hidden="true" localSheetId="2" name="_xlnm._FilterDatabase" vbProcedure="false">Produtos!$A$1:$Y$80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B10" authorId="0">
      <text>
        <r>
          <rPr>
            <sz val="10"/>
            <rFont val="Arial"/>
            <family val="2"/>
          </rPr>
          <t xml:space="preserve">Paleta de Sombras The Iconic (Cor 01 e Cor 03)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(4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10" authorId="0">
      <text>
        <r>
          <rPr>
            <sz val="10"/>
            <rFont val="Arial"/>
            <family val="2"/>
          </rPr>
          <t xml:space="preserve">Blush Líquido The Pink Multiuso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D10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Natural Curling</t>
        </r>
      </text>
    </comment>
    <comment ref="E10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<sst xmlns="http://schemas.openxmlformats.org/spreadsheetml/2006/main" count="704" uniqueCount="327">
  <si>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</si>
  <si>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</si>
  <si>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</si>
  <si>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</si>
  <si>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</si>
  <si>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</si>
  <si>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</si>
  <si>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</si>
  <si>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</si>
  <si>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</si>
  <si>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</si>
  <si>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</si>
  <si>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</si>
  <si>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</si>
  <si>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</si>
  <si>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</si>
  <si>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</si>
  <si>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</si>
  <si>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</si>
  <si>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</si>
  <si>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</si>
  <si>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</si>
  <si>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</si>
  <si>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</si>
  <si>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</si>
  <si>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</si>
  <si>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</si>
  <si>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</si>
  <si>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</si>
  <si>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beleza). Confira a taxa atual</t>
  </si>
  <si>
    <t xml:space="preserve">Mercado Livre: taxa fixa por venda abaixo de R$ 79 (R$)</t>
  </si>
  <si>
    <t xml:space="preserve">Aproximado. Confira a taxa atual</t>
  </si>
  <si>
    <t xml:space="preserve">Shopee: comissão + frete grátis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</si>
  <si>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</si>
  <si>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</si>
  <si>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</si>
  <si>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</si>
  <si>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</si>
  <si>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</si>
  <si>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</si>
  <si>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</si>
  <si>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</si>
  <si>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</si>
  <si>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</si>
  <si>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</si>
  <si>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</si>
  <si>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</si>
  <si>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</si>
  <si>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</si>
  <si>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</si>
  <si>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</si>
  <si>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</si>
  <si>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</si>
  <si>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</si>
  <si>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</si>
  <si>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</si>
  <si>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</si>
  <si>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</si>
  <si>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</si>
  <si>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</si>
  <si>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</si>
  <si>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</si>
  <si>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</si>
  <si>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</si>
  <si>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</si>
  <si>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</si>
  <si>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</si>
  <si>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</si>
  <si>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</si>
  <si>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</si>
  <si>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</si>
  <si>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</si>
  <si>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</si>
  <si>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</si>
  <si>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</si>
  <si>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</si>
  <si>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</si>
  <si>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</si>
  <si>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</si>
  <si>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</si>
  <si>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</si>
  <si>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</si>
  <si>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</si>
  <si>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</si>
  <si>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</si>
  <si>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</si>
  <si>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</si>
  <si>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</si>
  <si>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</si>
  <si>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</si>
  <si>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</si>
  <si>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</si>
  <si>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</si>
  <si>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</si>
  <si>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</si>
  <si>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</si>
  <si>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</si>
  <si>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</si>
  <si>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</si>
  <si>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</si>
  <si>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</si>
  <si>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</si>
  <si>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</si>
  <si>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</si>
  <si>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</si>
  <si>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</si>
  <si>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</si>
  <si>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</si>
  <si>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</si>
  <si>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</si>
  <si>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</si>
  <si>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</si>
  <si>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</si>
  <si>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</si>
  <si>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</si>
  <si>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</si>
  <si>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</si>
  <si>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</si>
  <si>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</si>
  <si>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</si>
  <si>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</si>
  <si>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</si>
  <si>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</si>
  <si>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</si>
  <si>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</si>
  <si>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</si>
  <si>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Comprar (kit Olhar Poderoso)</t>
  </si>
  <si>
    <t xml:space="preserve">P22</t>
  </si>
  <si>
    <t xml:space="preserve">Cílios Postiços 8D (F007/F011/F012/F019/F022)</t>
  </si>
  <si>
    <t xml:space="preserve">Sabrina Sato</t>
  </si>
  <si>
    <t xml:space="preserve">5 modelos,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</si>
  <si>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</si>
  <si>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</si>
  <si>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</si>
  <si>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</si>
  <si>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</si>
  <si>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</si>
  <si>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</si>
  <si>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</si>
  <si>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</si>
  <si>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</si>
  <si>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</si>
  <si>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</si>
  <si>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</si>
  <si>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</si>
  <si>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</si>
  <si>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</si>
  <si>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</si>
  <si>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</si>
  <si>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</si>
  <si>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</si>
  <si>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</si>
  <si>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</si>
  <si>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</si>
  <si>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</si>
  <si>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</si>
  <si>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</si>
  <si>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</si>
  <si>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</si>
  <si>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</si>
  <si>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</si>
  <si>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</si>
  <si>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</si>
  <si>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</si>
  <si>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</si>
  <si>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</si>
  <si>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</si>
  <si>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</si>
  <si>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</si>
  <si>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</si>
  <si>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</si>
  <si>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</si>
  <si>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</si>
  <si>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</si>
  <si>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</si>
  <si>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</si>
  <si>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</si>
  <si>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</si>
  <si>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</si>
  <si>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</si>
  <si>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</si>
  <si>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</si>
  <si>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</si>
  <si>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</si>
  <si>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</si>
  <si>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</si>
  <si>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</si>
  <si>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</si>
  <si>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</si>
  <si>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</si>
  <si>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</si>
  <si>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</si>
  <si>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</si>
  <si>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</si>
  <si>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</si>
  <si>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</si>
  <si>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</si>
  <si>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</si>
  <si>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</si>
  <si>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</si>
  <si>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</si>
  <si>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</si>
  <si>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</si>
  <si>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</si>
  <si>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</si>
  <si>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</si>
  <si>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</si>
  <si>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</si>
  <si>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</si>
  <si>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</si>
  <si>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</si>
  <si>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</si>
  <si>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</si>
  <si>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</si>
  <si>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</si>
  <si>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</si>
  <si>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</si>
  <si>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</si>
  <si>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</si>
  <si>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</si>
  <si>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</si>
  <si>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</si>
  <si>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</si>
  <si>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</si>
  <si>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</si>
  <si>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</si>
  <si>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</si>
  <si>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</si>
  <si>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</si>
  <si>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</si>
  <si>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(4 fragrâncias)</t>
  </si>
  <si>
    <t xml:space="preserve">Comprar (kit Perfumada)</t>
  </si>
  <si>
    <t xml:space="preserve">Libertad, Obsession Pink, Good Angel, Golden Vip (lote 5)</t>
  </si>
  <si>
    <t xml:space="preserve">P55</t>
  </si>
  <si>
    <t xml:space="preserve">Pó Solto Blindagem Fix All</t>
  </si>
  <si>
    <t xml:space="preserve">P56</t>
  </si>
  <si>
    <t xml:space="preserve">Trio de Sombras Snow</t>
  </si>
  <si>
    <t xml:space="preserve">Mia Make</t>
  </si>
  <si>
    <t xml:space="preserve">P57</t>
  </si>
  <si>
    <t xml:space="preserve">Duo Lips Contorno e Batom</t>
  </si>
  <si>
    <t xml:space="preserve">Duas coleções de cores no site</t>
  </si>
  <si>
    <t xml:space="preserve">P58</t>
  </si>
  <si>
    <t xml:space="preserve">Primer Hidratante Hidro 45ml (CS6372)</t>
  </si>
  <si>
    <t xml:space="preserve">Comprar (kit Make Completa)</t>
  </si>
  <si>
    <t xml:space="preserve">P59</t>
  </si>
  <si>
    <t xml:space="preserve">Corretivo Líquido Amora</t>
  </si>
  <si>
    <t xml:space="preserve">Referência: base Amora by Pink 21 R$ 13,29</t>
  </si>
  <si>
    <t xml:space="preserve">P60</t>
  </si>
  <si>
    <t xml:space="preserve">Blush em Bastão Amora</t>
  </si>
  <si>
    <t xml:space="preserve">Referência: blush em bastão Pink 21 R$ 18,50</t>
  </si>
  <si>
    <t xml:space="preserve">P61</t>
  </si>
  <si>
    <t xml:space="preserve">Lip Gloss Candy Bear</t>
  </si>
  <si>
    <t xml:space="preserve">Evitar (muitos gloss)</t>
  </si>
  <si>
    <t xml:space="preserve">P62</t>
  </si>
  <si>
    <t xml:space="preserve">Corretivo Quick Fix We Candy Box A</t>
  </si>
  <si>
    <t xml:space="preserve">We Candy</t>
  </si>
  <si>
    <t xml:space="preserve">Caixa com 36</t>
  </si>
  <si>
    <t xml:space="preserve">P63</t>
  </si>
  <si>
    <t xml:space="preserve">Lip Gloss Fruits (3326.1.1)</t>
  </si>
  <si>
    <t xml:space="preserve">Vivai</t>
  </si>
  <si>
    <t xml:space="preserve">Evitar (vendido barato)</t>
  </si>
  <si>
    <t xml:space="preserve">Box de 24 visto por R$ 49,90 na Amazon (~R$ 2,08/un.)</t>
  </si>
  <si>
    <t xml:space="preserve">P64</t>
  </si>
  <si>
    <t xml:space="preserve">Gloss Glitter Choko (3429.1.1)</t>
  </si>
  <si>
    <t xml:space="preserve">P65</t>
  </si>
  <si>
    <t xml:space="preserve">Corretivo Líquido Acabamento Matte</t>
  </si>
  <si>
    <t xml:space="preserve">Confirmar qtd</t>
  </si>
  <si>
    <t xml:space="preserve">Qtd na caixa cortada no print: considerei 24, confirmar</t>
  </si>
  <si>
    <t xml:space="preserve">P66</t>
  </si>
  <si>
    <t xml:space="preserve">Contorno em Bastão Color Contour</t>
  </si>
  <si>
    <t xml:space="preserve">Caixa com 48: custo muito baixo</t>
  </si>
  <si>
    <t xml:space="preserve">P67</t>
  </si>
  <si>
    <t xml:space="preserve">Máscara Incolor para Sobrancelha Honey</t>
  </si>
  <si>
    <t xml:space="preserve">P68</t>
  </si>
  <si>
    <t xml:space="preserve">Lip Gloss Amora (CS7043)</t>
  </si>
  <si>
    <t xml:space="preserve">P69</t>
  </si>
  <si>
    <t xml:space="preserve">Blush Líquido The Pink Multiuso</t>
  </si>
  <si>
    <t xml:space="preserve">Blush e batom; em alta</t>
  </si>
  <si>
    <t xml:space="preserve">P70</t>
  </si>
  <si>
    <t xml:space="preserve">Delineador Líquido Peel Off Amora</t>
  </si>
  <si>
    <t xml:space="preserve">P71</t>
  </si>
  <si>
    <t xml:space="preserve">Lip Balm (CS7085)</t>
  </si>
  <si>
    <t xml:space="preserve">P72</t>
  </si>
  <si>
    <t xml:space="preserve">Paleta de Sombras The Iconic (Cor 01 e Cor 03)</t>
  </si>
  <si>
    <t xml:space="preserve">9 cores. Cor 03 no lote 6, mesmo preço. Outras paletas Pink 21 de R$ 11,99 a R$ 45,90</t>
  </si>
  <si>
    <t xml:space="preserve">P73</t>
  </si>
  <si>
    <t xml:space="preserve">Corretivo Líquido (CS5963)</t>
  </si>
  <si>
    <t xml:space="preserve">Comprar (único corretivo)</t>
  </si>
  <si>
    <t xml:space="preserve">Corretivo mais barato da lista</t>
  </si>
  <si>
    <t xml:space="preserve">P74</t>
  </si>
  <si>
    <t xml:space="preserve">Máscara para Cílios Volume e Define</t>
  </si>
  <si>
    <t xml:space="preserve">4Angels</t>
  </si>
  <si>
    <t xml:space="preserve">P75</t>
  </si>
  <si>
    <t xml:space="preserve">Batom Líquido (BR1262)</t>
  </si>
  <si>
    <t xml:space="preserve">Evitar (já tem batom)</t>
  </si>
  <si>
    <t xml:space="preserve">P76</t>
  </si>
  <si>
    <t xml:space="preserve">Lip Gloss Caramel (BR1260)</t>
  </si>
  <si>
    <t xml:space="preserve">P77</t>
  </si>
  <si>
    <t xml:space="preserve">Lip Tint (BR1255)</t>
  </si>
  <si>
    <t xml:space="preserve">Lip tint 4Angels visto por R$ 10</t>
  </si>
  <si>
    <t xml:space="preserve">P78</t>
  </si>
  <si>
    <t xml:space="preserve">Delineador Líquido (BR1250)</t>
  </si>
  <si>
    <t xml:space="preserve">P79</t>
  </si>
  <si>
    <t xml:space="preserve">Paleta de Sombras (BR1248)</t>
  </si>
  <si>
    <t xml:space="preserve">A The Iconic (Pink 21) dá mais lucro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</si>
  <si>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</si>
  <si>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</si>
  <si>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</si>
  <si>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</si>
  <si>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</si>
  <si>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</si>
  <si>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</si>
  <si>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</si>
  <si>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</si>
  <si>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</si>
  <si>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</si>
  <si>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</si>
  <si>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</si>
  <si>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</si>
  <si>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</si>
  <si>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</si>
  <si>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</si>
  <si>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</si>
  <si>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</si>
  <si>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</si>
  <si>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Make Completa</t>
  </si>
  <si>
    <t xml:space="preserve">Os itens são IDs da aba Produtos (passe o mouse para ver o nome). Repetir um ID = mais de uma unidade no kit.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</si>
</sst>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E6DDE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4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1D8B0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B3E0BF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2E6CC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DEAD4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E3EC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COUNTA(Produtos!A2:A80)</f>
        <v>79</v>
      </c>
    </row>
    <row r="6" customFormat="false" ht="15" hidden="false" customHeight="false" outlineLevel="0" collapsed="false">
      <c r="A6" s="4" t="s">
        <v>5</v>
      </c>
      <c r="B6" s="5" t="n">
        <f aca="false">COUNTIF(Produtos!T2:T80,"S")</f>
        <v>34</v>
      </c>
    </row>
    <row r="7" customFormat="false" ht="15" hidden="false" customHeight="false" outlineLevel="0" collapsed="false">
      <c r="A7" s="6" t="s">
        <v>6</v>
      </c>
      <c r="B7" s="7" t="n">
        <f aca="false">SUM(Produtos!Y2:Y80)</f>
        <v>3695.07</v>
      </c>
    </row>
    <row r="8" customFormat="false" ht="15" hidden="false" customHeight="false" outlineLevel="0" collapsed="false">
      <c r="A8" s="4" t="s">
        <v>7</v>
      </c>
      <c r="B8" s="5" t="n">
        <f aca="false">SUMPRODUCT((Produtos!T2:T80="S")*Produtos!F2:F80*Produtos!X2:X80)</f>
        <v>649</v>
      </c>
    </row>
    <row r="9" customFormat="false" ht="15" hidden="false" customHeight="false" outlineLevel="0" collapsed="false">
      <c r="A9" s="4" t="s">
        <v>8</v>
      </c>
      <c r="B9" s="7" t="n">
        <f aca="false">SUM(Produtos!V2:V80)</f>
        <v>9767.1</v>
      </c>
    </row>
    <row r="10" customFormat="false" ht="15" hidden="false" customHeight="false" outlineLevel="0" collapsed="false">
      <c r="A10" s="6" t="s">
        <v>9</v>
      </c>
      <c r="B10" s="7" t="n">
        <f aca="false">SUM(Produtos!W2:W80)</f>
        <v>4841.88755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1.31036422855318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0.12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6.25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31</v>
      </c>
    </row>
    <row r="11" customFormat="false" ht="15" hidden="false" customHeight="false" outlineLevel="0" collapsed="false">
      <c r="A11" s="4" t="s">
        <v>33</v>
      </c>
      <c r="B11" s="12" t="n">
        <v>4</v>
      </c>
      <c r="C11" s="11" t="s">
        <v>31</v>
      </c>
    </row>
    <row r="12" customFormat="false" ht="15" hidden="false" customHeight="false" outlineLevel="0" collapsed="false">
      <c r="A12" s="4" t="s">
        <v>34</v>
      </c>
      <c r="B12" s="12" t="n">
        <v>1000</v>
      </c>
      <c r="C12" s="11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3" t="s">
        <v>42</v>
      </c>
      <c r="H1" s="13" t="s">
        <v>43</v>
      </c>
      <c r="I1" s="13" t="s">
        <v>44</v>
      </c>
      <c r="J1" s="13" t="s">
        <v>45</v>
      </c>
      <c r="K1" s="13" t="s">
        <v>46</v>
      </c>
      <c r="L1" s="13" t="s">
        <v>47</v>
      </c>
      <c r="M1" s="13" t="s">
        <v>48</v>
      </c>
      <c r="N1" s="13" t="s">
        <v>49</v>
      </c>
      <c r="O1" s="13" t="s">
        <v>50</v>
      </c>
      <c r="P1" s="13" t="s">
        <v>51</v>
      </c>
      <c r="Q1" s="13" t="s">
        <v>52</v>
      </c>
      <c r="R1" s="13" t="s">
        <v>53</v>
      </c>
      <c r="S1" s="13" t="s">
        <v>54</v>
      </c>
      <c r="T1" s="13" t="s">
        <v>55</v>
      </c>
      <c r="U1" s="13" t="s">
        <v>21</v>
      </c>
      <c r="V1" s="13" t="s">
        <v>56</v>
      </c>
      <c r="W1" s="13" t="s">
        <v>57</v>
      </c>
      <c r="X1" s="13" t="s">
        <v>58</v>
      </c>
      <c r="Y1" s="13" t="s">
        <v>59</v>
      </c>
    </row>
    <row r="2" customFormat="false" ht="15" hidden="false" customHeight="false" outlineLevel="0" collapsed="false">
      <c r="A2" s="14" t="s">
        <v>60</v>
      </c>
      <c r="B2" s="15" t="s">
        <v>61</v>
      </c>
      <c r="C2" s="14" t="s">
        <v>62</v>
      </c>
      <c r="D2" s="14" t="s">
        <v>63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64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-0.658833333333333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65</v>
      </c>
      <c r="T2" s="23" t="s">
        <v>66</v>
      </c>
      <c r="U2" s="15" t="s">
        <v>67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68</v>
      </c>
      <c r="B3" s="15" t="s">
        <v>69</v>
      </c>
      <c r="C3" s="14" t="s">
        <v>70</v>
      </c>
      <c r="D3" s="14" t="s">
        <v>63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64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-0.8755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71</v>
      </c>
      <c r="T3" s="23" t="s">
        <v>66</v>
      </c>
      <c r="U3" s="15" t="s">
        <v>72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73</v>
      </c>
      <c r="B4" s="15" t="s">
        <v>74</v>
      </c>
      <c r="C4" s="14" t="s">
        <v>70</v>
      </c>
      <c r="D4" s="14" t="s">
        <v>63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64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75</v>
      </c>
      <c r="T4" s="23" t="s">
        <v>76</v>
      </c>
      <c r="U4" s="15" t="s">
        <v>77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78</v>
      </c>
      <c r="B5" s="15" t="s">
        <v>79</v>
      </c>
      <c r="C5" s="14" t="s">
        <v>70</v>
      </c>
      <c r="D5" s="14" t="s">
        <v>63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64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75</v>
      </c>
      <c r="T5" s="23" t="s">
        <v>76</v>
      </c>
      <c r="U5" s="15" t="s">
        <v>77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80</v>
      </c>
      <c r="B6" s="15" t="s">
        <v>81</v>
      </c>
      <c r="C6" s="14" t="s">
        <v>70</v>
      </c>
      <c r="D6" s="14" t="s">
        <v>63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64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-0.8755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82</v>
      </c>
      <c r="T6" s="23" t="s">
        <v>76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83</v>
      </c>
      <c r="B7" s="15" t="s">
        <v>84</v>
      </c>
      <c r="C7" s="14" t="s">
        <v>70</v>
      </c>
      <c r="D7" s="14" t="s">
        <v>63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64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-0.8755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71</v>
      </c>
      <c r="T7" s="23" t="s">
        <v>66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85</v>
      </c>
      <c r="B8" s="15" t="s">
        <v>86</v>
      </c>
      <c r="C8" s="14" t="s">
        <v>70</v>
      </c>
      <c r="D8" s="14" t="s">
        <v>63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64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-0.958833333333333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71</v>
      </c>
      <c r="T8" s="23" t="s">
        <v>66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87</v>
      </c>
      <c r="B9" s="15" t="s">
        <v>88</v>
      </c>
      <c r="C9" s="14" t="s">
        <v>70</v>
      </c>
      <c r="D9" s="14" t="s">
        <v>63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64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-2.478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75</v>
      </c>
      <c r="T9" s="23" t="s">
        <v>76</v>
      </c>
      <c r="U9" s="15" t="s">
        <v>89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90</v>
      </c>
      <c r="B10" s="15" t="s">
        <v>91</v>
      </c>
      <c r="C10" s="14" t="s">
        <v>70</v>
      </c>
      <c r="D10" s="14" t="s">
        <v>92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93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-1.598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65</v>
      </c>
      <c r="T10" s="23" t="s">
        <v>66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94</v>
      </c>
      <c r="B11" s="15" t="s">
        <v>95</v>
      </c>
      <c r="C11" s="14" t="s">
        <v>70</v>
      </c>
      <c r="D11" s="14" t="s">
        <v>92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93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0.162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65</v>
      </c>
      <c r="T11" s="23" t="s">
        <v>66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96</v>
      </c>
      <c r="B12" s="15" t="s">
        <v>97</v>
      </c>
      <c r="C12" s="14" t="s">
        <v>70</v>
      </c>
      <c r="D12" s="14" t="s">
        <v>92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64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-1.598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82</v>
      </c>
      <c r="T12" s="23" t="s">
        <v>76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98</v>
      </c>
      <c r="B13" s="15" t="s">
        <v>99</v>
      </c>
      <c r="C13" s="14" t="s">
        <v>70</v>
      </c>
      <c r="D13" s="14" t="s">
        <v>92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64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-1.598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100</v>
      </c>
      <c r="T13" s="23" t="s">
        <v>66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101</v>
      </c>
      <c r="B14" s="15" t="s">
        <v>102</v>
      </c>
      <c r="C14" s="14" t="s">
        <v>70</v>
      </c>
      <c r="D14" s="14" t="s">
        <v>92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93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-1.598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82</v>
      </c>
      <c r="T14" s="23" t="s">
        <v>76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103</v>
      </c>
      <c r="B15" s="15" t="s">
        <v>104</v>
      </c>
      <c r="C15" s="14" t="s">
        <v>70</v>
      </c>
      <c r="D15" s="14" t="s">
        <v>92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93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-1.598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82</v>
      </c>
      <c r="T15" s="23" t="s">
        <v>76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105</v>
      </c>
      <c r="B16" s="15" t="s">
        <v>106</v>
      </c>
      <c r="C16" s="14" t="s">
        <v>107</v>
      </c>
      <c r="D16" s="14" t="s">
        <v>108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93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2.322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65</v>
      </c>
      <c r="T16" s="23" t="s">
        <v>66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109</v>
      </c>
      <c r="B17" s="15" t="s">
        <v>110</v>
      </c>
      <c r="C17" s="14" t="s">
        <v>107</v>
      </c>
      <c r="D17" s="14" t="s">
        <v>108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64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-2.898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111</v>
      </c>
      <c r="T17" s="23" t="s">
        <v>76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112</v>
      </c>
      <c r="B18" s="15" t="s">
        <v>113</v>
      </c>
      <c r="C18" s="14" t="s">
        <v>107</v>
      </c>
      <c r="D18" s="14" t="s">
        <v>108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64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-2.898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111</v>
      </c>
      <c r="T18" s="23" t="s">
        <v>76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114</v>
      </c>
      <c r="B19" s="15" t="s">
        <v>115</v>
      </c>
      <c r="C19" s="14" t="s">
        <v>116</v>
      </c>
      <c r="D19" s="14" t="s">
        <v>117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64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-1.02758333333333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82</v>
      </c>
      <c r="T19" s="23" t="s">
        <v>76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118</v>
      </c>
      <c r="B20" s="15" t="s">
        <v>119</v>
      </c>
      <c r="C20" s="14" t="s">
        <v>116</v>
      </c>
      <c r="D20" s="14" t="s">
        <v>117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64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-2.32925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120</v>
      </c>
      <c r="T20" s="23" t="s">
        <v>76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121</v>
      </c>
      <c r="B21" s="15" t="s">
        <v>122</v>
      </c>
      <c r="C21" s="14" t="s">
        <v>116</v>
      </c>
      <c r="D21" s="14" t="s">
        <v>117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64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-2.973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111</v>
      </c>
      <c r="T21" s="23" t="s">
        <v>76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123</v>
      </c>
      <c r="B22" s="15" t="s">
        <v>124</v>
      </c>
      <c r="C22" s="14" t="s">
        <v>116</v>
      </c>
      <c r="D22" s="14" t="s">
        <v>125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64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-2.58133333333333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126</v>
      </c>
      <c r="T22" s="23" t="s">
        <v>66</v>
      </c>
      <c r="U22" s="15"/>
      <c r="V22" s="18" t="n">
        <f aca="false">IF(AND(T22="S",ISNUMBER(L22),ISNUMBER(F22)),L22*F22*X22,0)</f>
        <v>309.6</v>
      </c>
      <c r="W22" s="18" t="n">
        <f aca="false">IF(AND(T22="S",ISNUMBER(Q22)),Q22*X22,0)</f>
        <v>106.7788</v>
      </c>
      <c r="X22" s="23" t="n">
        <v>1</v>
      </c>
      <c r="Y22" s="18" t="n">
        <f aca="false">IF(AND(T22="S",ISNUMBER(G22)),G22*X22,0)</f>
        <v>160.4</v>
      </c>
    </row>
    <row r="23" customFormat="false" ht="26.85" hidden="false" customHeight="false" outlineLevel="0" collapsed="false">
      <c r="A23" s="14" t="s">
        <v>127</v>
      </c>
      <c r="B23" s="15" t="s">
        <v>128</v>
      </c>
      <c r="C23" s="14" t="s">
        <v>129</v>
      </c>
      <c r="D23" s="14" t="s">
        <v>125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93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-2.318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65</v>
      </c>
      <c r="T23" s="23" t="s">
        <v>66</v>
      </c>
      <c r="U23" s="15" t="s">
        <v>130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131</v>
      </c>
      <c r="B24" s="15" t="s">
        <v>132</v>
      </c>
      <c r="C24" s="14" t="s">
        <v>133</v>
      </c>
      <c r="D24" s="14" t="s">
        <v>92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64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1.322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134</v>
      </c>
      <c r="T24" s="23" t="s">
        <v>66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135</v>
      </c>
      <c r="B25" s="15" t="s">
        <v>136</v>
      </c>
      <c r="C25" s="14" t="s">
        <v>133</v>
      </c>
      <c r="D25" s="14" t="s">
        <v>92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64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1.322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134</v>
      </c>
      <c r="T25" s="23" t="s">
        <v>66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137</v>
      </c>
      <c r="B26" s="15" t="s">
        <v>138</v>
      </c>
      <c r="C26" s="14" t="s">
        <v>133</v>
      </c>
      <c r="D26" s="14" t="s">
        <v>92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64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1.322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134</v>
      </c>
      <c r="T26" s="23" t="s">
        <v>66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139</v>
      </c>
      <c r="B27" s="15" t="s">
        <v>140</v>
      </c>
      <c r="C27" s="14" t="s">
        <v>133</v>
      </c>
      <c r="D27" s="14" t="s">
        <v>141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64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3.362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65</v>
      </c>
      <c r="T27" s="23" t="s">
        <v>66</v>
      </c>
      <c r="U27" s="15" t="s">
        <v>142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143</v>
      </c>
      <c r="B28" s="15" t="s">
        <v>144</v>
      </c>
      <c r="C28" s="14" t="s">
        <v>145</v>
      </c>
      <c r="D28" s="14" t="s">
        <v>117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64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-1.0255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82</v>
      </c>
      <c r="T28" s="23" t="s">
        <v>76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146</v>
      </c>
      <c r="B29" s="15" t="s">
        <v>147</v>
      </c>
      <c r="C29" s="14" t="s">
        <v>148</v>
      </c>
      <c r="D29" s="14" t="s">
        <v>117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93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-2.52133333333333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82</v>
      </c>
      <c r="T29" s="23" t="s">
        <v>76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149</v>
      </c>
      <c r="B30" s="15" t="s">
        <v>150</v>
      </c>
      <c r="C30" s="14" t="s">
        <v>148</v>
      </c>
      <c r="D30" s="14" t="s">
        <v>117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64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-2.04383333333333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120</v>
      </c>
      <c r="T30" s="23" t="s">
        <v>76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151</v>
      </c>
      <c r="B31" s="15" t="s">
        <v>152</v>
      </c>
      <c r="C31" s="14" t="s">
        <v>153</v>
      </c>
      <c r="D31" s="14" t="s">
        <v>63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64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-0.618833333333333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82</v>
      </c>
      <c r="T31" s="23" t="s">
        <v>76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154</v>
      </c>
      <c r="B32" s="15" t="s">
        <v>155</v>
      </c>
      <c r="C32" s="14" t="s">
        <v>156</v>
      </c>
      <c r="D32" s="14" t="s">
        <v>157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64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-0.514666666666666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158</v>
      </c>
      <c r="T32" s="23" t="s">
        <v>66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159</v>
      </c>
      <c r="B33" s="15" t="s">
        <v>160</v>
      </c>
      <c r="C33" s="14" t="s">
        <v>156</v>
      </c>
      <c r="D33" s="14" t="s">
        <v>63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64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0.421166666666668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65</v>
      </c>
      <c r="T33" s="23" t="s">
        <v>66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161</v>
      </c>
      <c r="B34" s="15" t="s">
        <v>162</v>
      </c>
      <c r="C34" s="14" t="s">
        <v>156</v>
      </c>
      <c r="D34" s="14" t="s">
        <v>117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64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-1.36883333333333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163</v>
      </c>
      <c r="T34" s="23" t="s">
        <v>66</v>
      </c>
      <c r="U34" s="15" t="s">
        <v>164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165</v>
      </c>
      <c r="B35" s="15" t="s">
        <v>166</v>
      </c>
      <c r="C35" s="14" t="s">
        <v>167</v>
      </c>
      <c r="D35" s="14" t="s">
        <v>168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64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1.122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65</v>
      </c>
      <c r="T35" s="23" t="s">
        <v>66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169</v>
      </c>
      <c r="B36" s="15" t="s">
        <v>170</v>
      </c>
      <c r="C36" s="14" t="s">
        <v>171</v>
      </c>
      <c r="D36" s="14" t="s">
        <v>108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64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-1.738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82</v>
      </c>
      <c r="T36" s="23" t="s">
        <v>76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172</v>
      </c>
      <c r="B37" s="15" t="s">
        <v>173</v>
      </c>
      <c r="C37" s="14" t="s">
        <v>174</v>
      </c>
      <c r="D37" s="14" t="s">
        <v>63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93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-0.0780000000000003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65</v>
      </c>
      <c r="T37" s="23" t="s">
        <v>66</v>
      </c>
      <c r="U37" s="15" t="s">
        <v>175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176</v>
      </c>
      <c r="B38" s="15" t="s">
        <v>177</v>
      </c>
      <c r="C38" s="14" t="s">
        <v>178</v>
      </c>
      <c r="D38" s="14" t="s">
        <v>157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64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-2.173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179</v>
      </c>
      <c r="T38" s="23" t="s">
        <v>66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180</v>
      </c>
      <c r="B39" s="15" t="s">
        <v>181</v>
      </c>
      <c r="C39" s="14" t="s">
        <v>178</v>
      </c>
      <c r="D39" s="14" t="s">
        <v>157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64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-1.65633333333333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179</v>
      </c>
      <c r="T39" s="23" t="s">
        <v>66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182</v>
      </c>
      <c r="B40" s="15" t="s">
        <v>183</v>
      </c>
      <c r="C40" s="14" t="s">
        <v>178</v>
      </c>
      <c r="D40" s="14" t="s">
        <v>117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93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-3.178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184</v>
      </c>
      <c r="T40" s="23" t="s">
        <v>76</v>
      </c>
      <c r="U40" s="15" t="s">
        <v>185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186</v>
      </c>
      <c r="B41" s="15" t="s">
        <v>187</v>
      </c>
      <c r="C41" s="14" t="s">
        <v>178</v>
      </c>
      <c r="D41" s="14" t="s">
        <v>117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93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-3.178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184</v>
      </c>
      <c r="T41" s="23" t="s">
        <v>76</v>
      </c>
      <c r="U41" s="15" t="s">
        <v>185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188</v>
      </c>
      <c r="B42" s="15" t="s">
        <v>189</v>
      </c>
      <c r="C42" s="14" t="s">
        <v>178</v>
      </c>
      <c r="D42" s="14" t="s">
        <v>117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93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-2.79466666666667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184</v>
      </c>
      <c r="T42" s="23" t="s">
        <v>76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190</v>
      </c>
      <c r="B43" s="15" t="s">
        <v>191</v>
      </c>
      <c r="C43" s="14" t="s">
        <v>178</v>
      </c>
      <c r="D43" s="14" t="s">
        <v>117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93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-2.53633333333333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163</v>
      </c>
      <c r="T43" s="23" t="s">
        <v>66</v>
      </c>
      <c r="U43" s="15" t="s">
        <v>192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193</v>
      </c>
      <c r="B44" s="15" t="s">
        <v>194</v>
      </c>
      <c r="C44" s="14" t="s">
        <v>195</v>
      </c>
      <c r="D44" s="14" t="s">
        <v>117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64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-2.82716666666667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120</v>
      </c>
      <c r="T44" s="23" t="s">
        <v>76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196</v>
      </c>
      <c r="B45" s="15" t="s">
        <v>197</v>
      </c>
      <c r="C45" s="14" t="s">
        <v>198</v>
      </c>
      <c r="D45" s="14" t="s">
        <v>141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64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0.162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65</v>
      </c>
      <c r="T45" s="23" t="s">
        <v>66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199</v>
      </c>
      <c r="B46" s="15" t="s">
        <v>200</v>
      </c>
      <c r="C46" s="14" t="s">
        <v>201</v>
      </c>
      <c r="D46" s="14" t="s">
        <v>141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64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1.422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IFERROR(IF(M46&gt;0,ROUNDUP(Premissas!$B$12/M46,0),"sem lucro"),"")</f>
        <v>116</v>
      </c>
      <c r="S46" s="15" t="s">
        <v>65</v>
      </c>
      <c r="T46" s="23" t="s">
        <v>66</v>
      </c>
      <c r="U46" s="15" t="s">
        <v>202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203</v>
      </c>
      <c r="B47" s="15" t="s">
        <v>204</v>
      </c>
      <c r="C47" s="14" t="s">
        <v>201</v>
      </c>
      <c r="D47" s="14" t="s">
        <v>141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64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1.122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IFERROR(IF(M47&gt;0,ROUNDUP(Premissas!$B$12/M47,0),"sem lucro"),"")</f>
        <v>120</v>
      </c>
      <c r="S47" s="15" t="s">
        <v>82</v>
      </c>
      <c r="T47" s="23" t="s">
        <v>76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205</v>
      </c>
      <c r="B48" s="15" t="s">
        <v>206</v>
      </c>
      <c r="C48" s="14" t="s">
        <v>207</v>
      </c>
      <c r="D48" s="14" t="s">
        <v>117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64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0.595333333333334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IFERROR(IF(M48&gt;0,ROUNDUP(Premissas!$B$12/M48,0),"sem lucro"),"")</f>
        <v>130</v>
      </c>
      <c r="S48" s="15" t="s">
        <v>82</v>
      </c>
      <c r="T48" s="23" t="s">
        <v>76</v>
      </c>
      <c r="U48" s="15" t="s">
        <v>208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209</v>
      </c>
      <c r="B49" s="15" t="s">
        <v>210</v>
      </c>
      <c r="C49" s="14" t="s">
        <v>207</v>
      </c>
      <c r="D49" s="14" t="s">
        <v>117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64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-0.754666666666667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IFERROR(IF(M49&gt;0,ROUNDUP(Premissas!$B$12/M49,0),"sem lucro"),"")</f>
        <v>157</v>
      </c>
      <c r="S49" s="15" t="s">
        <v>82</v>
      </c>
      <c r="T49" s="23" t="s">
        <v>76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211</v>
      </c>
      <c r="B50" s="15" t="s">
        <v>212</v>
      </c>
      <c r="C50" s="14" t="s">
        <v>207</v>
      </c>
      <c r="D50" s="14" t="s">
        <v>117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93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0.203666666666666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IFERROR(IF(M50&gt;0,ROUNDUP(Premissas!$B$12/M50,0),"sem lucro"),"")</f>
        <v>136</v>
      </c>
      <c r="S50" s="15" t="s">
        <v>213</v>
      </c>
      <c r="T50" s="23" t="s">
        <v>66</v>
      </c>
      <c r="U50" s="15" t="s">
        <v>214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215</v>
      </c>
      <c r="B51" s="15" t="s">
        <v>216</v>
      </c>
      <c r="C51" s="14" t="s">
        <v>217</v>
      </c>
      <c r="D51" s="14" t="s">
        <v>63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64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0.00422222222222324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IFERROR(IF(M51&gt;0,ROUNDUP(Premissas!$B$12/M51,0),"sem lucro"),"")</f>
        <v>141</v>
      </c>
      <c r="S51" s="15" t="s">
        <v>82</v>
      </c>
      <c r="T51" s="23" t="s">
        <v>76</v>
      </c>
      <c r="U51" s="15" t="s">
        <v>218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219</v>
      </c>
      <c r="B52" s="15" t="s">
        <v>220</v>
      </c>
      <c r="C52" s="14" t="s">
        <v>217</v>
      </c>
      <c r="D52" s="14" t="s">
        <v>63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64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0.00422222222222324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IFERROR(IF(M52&gt;0,ROUNDUP(Premissas!$B$12/M52,0),"sem lucro"),"")</f>
        <v>141</v>
      </c>
      <c r="S52" s="15" t="s">
        <v>82</v>
      </c>
      <c r="T52" s="23" t="s">
        <v>76</v>
      </c>
      <c r="U52" s="15" t="s">
        <v>218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221</v>
      </c>
      <c r="B53" s="15" t="s">
        <v>222</v>
      </c>
      <c r="C53" s="14" t="s">
        <v>223</v>
      </c>
      <c r="D53" s="14" t="s">
        <v>224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64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7.862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IFERROR(IF(M53&gt;0,ROUNDUP(Premissas!$B$12/M53,0),"sem lucro"),"")</f>
        <v>65</v>
      </c>
      <c r="S53" s="15" t="s">
        <v>65</v>
      </c>
      <c r="T53" s="23" t="s">
        <v>66</v>
      </c>
      <c r="U53" s="15" t="s">
        <v>225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226</v>
      </c>
      <c r="B54" s="15" t="s">
        <v>227</v>
      </c>
      <c r="C54" s="14" t="s">
        <v>223</v>
      </c>
      <c r="D54" s="14" t="s">
        <v>224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64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7.862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IFERROR(IF(M54&gt;0,ROUNDUP(Premissas!$B$12/M54,0),"sem lucro"),"")</f>
        <v>65</v>
      </c>
      <c r="S54" s="15" t="s">
        <v>65</v>
      </c>
      <c r="T54" s="23" t="s">
        <v>66</v>
      </c>
      <c r="U54" s="15" t="s">
        <v>228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229</v>
      </c>
      <c r="B55" s="15" t="s">
        <v>230</v>
      </c>
      <c r="C55" s="14" t="s">
        <v>223</v>
      </c>
      <c r="D55" s="14" t="s">
        <v>141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64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6.302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IFERROR(IF(M55&gt;0,ROUNDUP(Premissas!$B$12/M55,0),"sem lucro"),"")</f>
        <v>72</v>
      </c>
      <c r="S55" s="15" t="s">
        <v>231</v>
      </c>
      <c r="T55" s="23" t="s">
        <v>66</v>
      </c>
      <c r="U55" s="15" t="s">
        <v>232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  <row r="56" customFormat="false" ht="15" hidden="false" customHeight="false" outlineLevel="0" collapsed="false">
      <c r="A56" s="14" t="s">
        <v>233</v>
      </c>
      <c r="B56" s="15" t="s">
        <v>234</v>
      </c>
      <c r="C56" s="14" t="s">
        <v>217</v>
      </c>
      <c r="D56" s="14" t="s">
        <v>63</v>
      </c>
      <c r="E56" s="14" t="n">
        <v>5</v>
      </c>
      <c r="F56" s="16" t="n">
        <v>18</v>
      </c>
      <c r="G56" s="17" t="n">
        <v>89.6</v>
      </c>
      <c r="H56" s="18" t="n">
        <f aca="false">IF(ISNUMBER(G56),IFERROR(G56/F56,""),"")</f>
        <v>4.97777777777778</v>
      </c>
      <c r="I56" s="17" t="n">
        <v>12.9</v>
      </c>
      <c r="J56" s="17" t="n">
        <v>14.9</v>
      </c>
      <c r="K56" s="19" t="s">
        <v>64</v>
      </c>
      <c r="L56" s="20" t="n">
        <v>13.9</v>
      </c>
      <c r="M56" s="18" t="n">
        <f aca="false">IFERROR(L56*(1-Premissas!$B$5)*(1-Premissas!$B$6)-H56-Premissas!$B$7,"")</f>
        <v>7.09517222222222</v>
      </c>
      <c r="N56" s="21" t="n">
        <f aca="false">IFERROR(M56/L56,"")</f>
        <v>0.510444044764189</v>
      </c>
      <c r="O56" s="18" t="n">
        <f aca="false">IFERROR(L56*(1-Premissas!$B$8)-Premissas!$B$9-H56-Premissas!$B$7,"")</f>
        <v>0.00422222222222324</v>
      </c>
      <c r="P56" s="18" t="n">
        <f aca="false">IFERROR(L56*(1-Premissas!$B$10)-Premissas!$B$11-H56-Premissas!$B$7,"")</f>
        <v>1.14222222222222</v>
      </c>
      <c r="Q56" s="18" t="n">
        <f aca="false">IFERROR(M56*F56,"")</f>
        <v>127.7131</v>
      </c>
      <c r="R56" s="22" t="n">
        <f aca="false">IFERROR(IF(M56&gt;0,ROUNDUP(Premissas!$B$12/M56,0),"sem lucro"),"")</f>
        <v>141</v>
      </c>
      <c r="S56" s="15" t="s">
        <v>82</v>
      </c>
      <c r="T56" s="23" t="s">
        <v>76</v>
      </c>
      <c r="U56" s="15" t="s">
        <v>218</v>
      </c>
      <c r="V56" s="18" t="n">
        <f aca="false">IF(AND(T56="S",ISNUMBER(L56),ISNUMBER(F56)),L56*F56*X56,0)</f>
        <v>0</v>
      </c>
      <c r="W56" s="18" t="n">
        <f aca="false">IF(AND(T56="S",ISNUMBER(Q56)),Q56*X56,0)</f>
        <v>0</v>
      </c>
      <c r="X56" s="23" t="n">
        <v>1</v>
      </c>
      <c r="Y56" s="18" t="n">
        <f aca="false">IF(AND(T56="S",ISNUMBER(G56)),G56*X56,0)</f>
        <v>0</v>
      </c>
    </row>
    <row r="57" customFormat="false" ht="15" hidden="false" customHeight="false" outlineLevel="0" collapsed="false">
      <c r="A57" s="14" t="s">
        <v>235</v>
      </c>
      <c r="B57" s="15" t="s">
        <v>236</v>
      </c>
      <c r="C57" s="14" t="s">
        <v>237</v>
      </c>
      <c r="D57" s="14" t="s">
        <v>125</v>
      </c>
      <c r="E57" s="14" t="n">
        <v>5</v>
      </c>
      <c r="F57" s="16" t="n">
        <v>24</v>
      </c>
      <c r="G57" s="17" t="n">
        <v>160.2</v>
      </c>
      <c r="H57" s="18" t="n">
        <f aca="false">IF(ISNUMBER(G57),IFERROR(G57/F57,""),"")</f>
        <v>6.675</v>
      </c>
      <c r="I57" s="17" t="n">
        <v>10</v>
      </c>
      <c r="J57" s="17" t="n">
        <v>14.9</v>
      </c>
      <c r="K57" s="19" t="s">
        <v>64</v>
      </c>
      <c r="L57" s="20" t="n">
        <v>14.9</v>
      </c>
      <c r="M57" s="18" t="n">
        <f aca="false">IFERROR(L57*(1-Premissas!$B$5)*(1-Premissas!$B$6)-H57-Premissas!$B$7,"")</f>
        <v>6.33845</v>
      </c>
      <c r="N57" s="21" t="n">
        <f aca="false">IFERROR(M57/L57,"")</f>
        <v>0.42539932885906</v>
      </c>
      <c r="O57" s="18" t="n">
        <f aca="false">IFERROR(L57*(1-Premissas!$B$8)-Premissas!$B$9-H57-Premissas!$B$7,"")</f>
        <v>-0.813</v>
      </c>
      <c r="P57" s="18" t="n">
        <f aca="false">IFERROR(L57*(1-Premissas!$B$10)-Premissas!$B$11-H57-Premissas!$B$7,"")</f>
        <v>0.245000000000002</v>
      </c>
      <c r="Q57" s="18" t="n">
        <f aca="false">IFERROR(M57*F57,"")</f>
        <v>152.1228</v>
      </c>
      <c r="R57" s="22" t="n">
        <f aca="false">IFERROR(IF(M57&gt;0,ROUNDUP(Premissas!$B$12/M57,0),"sem lucro"),"")</f>
        <v>158</v>
      </c>
      <c r="S57" s="15" t="s">
        <v>82</v>
      </c>
      <c r="T57" s="23" t="s">
        <v>76</v>
      </c>
      <c r="U57" s="15"/>
      <c r="V57" s="18" t="n">
        <f aca="false">IF(AND(T57="S",ISNUMBER(L57),ISNUMBER(F57)),L57*F57*X57,0)</f>
        <v>0</v>
      </c>
      <c r="W57" s="18" t="n">
        <f aca="false">IF(AND(T57="S",ISNUMBER(Q57)),Q57*X57,0)</f>
        <v>0</v>
      </c>
      <c r="X57" s="23" t="n">
        <v>1</v>
      </c>
      <c r="Y57" s="18" t="n">
        <f aca="false">IF(AND(T57="S",ISNUMBER(G57)),G57*X57,0)</f>
        <v>0</v>
      </c>
    </row>
    <row r="58" customFormat="false" ht="15" hidden="false" customHeight="false" outlineLevel="0" collapsed="false">
      <c r="A58" s="14" t="s">
        <v>238</v>
      </c>
      <c r="B58" s="15" t="s">
        <v>239</v>
      </c>
      <c r="C58" s="14" t="s">
        <v>237</v>
      </c>
      <c r="D58" s="14" t="s">
        <v>117</v>
      </c>
      <c r="E58" s="14" t="n">
        <v>5</v>
      </c>
      <c r="F58" s="16" t="n">
        <v>24</v>
      </c>
      <c r="G58" s="17" t="n">
        <v>165.99</v>
      </c>
      <c r="H58" s="18" t="n">
        <f aca="false">IF(ISNUMBER(G58),IFERROR(G58/F58,""),"")</f>
        <v>6.91625</v>
      </c>
      <c r="I58" s="17" t="n">
        <v>12.9</v>
      </c>
      <c r="J58" s="17" t="n">
        <v>14.9</v>
      </c>
      <c r="K58" s="19" t="s">
        <v>64</v>
      </c>
      <c r="L58" s="20" t="n">
        <v>14.9</v>
      </c>
      <c r="M58" s="18" t="n">
        <f aca="false">IFERROR(L58*(1-Premissas!$B$5)*(1-Premissas!$B$6)-H58-Premissas!$B$7,"")</f>
        <v>6.0972</v>
      </c>
      <c r="N58" s="21" t="n">
        <f aca="false">IFERROR(M58/L58,"")</f>
        <v>0.409208053691275</v>
      </c>
      <c r="O58" s="18" t="n">
        <f aca="false">IFERROR(L58*(1-Premissas!$B$8)-Premissas!$B$9-H58-Premissas!$B$7,"")</f>
        <v>-1.05425</v>
      </c>
      <c r="P58" s="18" t="n">
        <f aca="false">IFERROR(L58*(1-Premissas!$B$10)-Premissas!$B$11-H58-Premissas!$B$7,"")</f>
        <v>0.00375000000000103</v>
      </c>
      <c r="Q58" s="18" t="n">
        <f aca="false">IFERROR(M58*F58,"")</f>
        <v>146.3328</v>
      </c>
      <c r="R58" s="22" t="n">
        <f aca="false">IFERROR(IF(M58&gt;0,ROUNDUP(Premissas!$B$12/M58,0),"sem lucro"),"")</f>
        <v>165</v>
      </c>
      <c r="S58" s="15" t="s">
        <v>82</v>
      </c>
      <c r="T58" s="23" t="s">
        <v>76</v>
      </c>
      <c r="U58" s="15" t="s">
        <v>240</v>
      </c>
      <c r="V58" s="18" t="n">
        <f aca="false">IF(AND(T58="S",ISNUMBER(L58),ISNUMBER(F58)),L58*F58*X58,0)</f>
        <v>0</v>
      </c>
      <c r="W58" s="18" t="n">
        <f aca="false">IF(AND(T58="S",ISNUMBER(Q58)),Q58*X58,0)</f>
        <v>0</v>
      </c>
      <c r="X58" s="23" t="n">
        <v>1</v>
      </c>
      <c r="Y58" s="18" t="n">
        <f aca="false">IF(AND(T58="S",ISNUMBER(G58)),G58*X58,0)</f>
        <v>0</v>
      </c>
    </row>
    <row r="59" customFormat="false" ht="15" hidden="false" customHeight="false" outlineLevel="0" collapsed="false">
      <c r="A59" s="14" t="s">
        <v>241</v>
      </c>
      <c r="B59" s="15" t="s">
        <v>242</v>
      </c>
      <c r="C59" s="14" t="s">
        <v>207</v>
      </c>
      <c r="D59" s="14" t="s">
        <v>63</v>
      </c>
      <c r="E59" s="14" t="n">
        <v>5</v>
      </c>
      <c r="F59" s="16" t="n">
        <v>1</v>
      </c>
      <c r="G59" s="17" t="n">
        <v>6.7</v>
      </c>
      <c r="H59" s="18" t="n">
        <f aca="false">IF(ISNUMBER(G59),IFERROR(G59/F59,""),"")</f>
        <v>6.7</v>
      </c>
      <c r="I59" s="17" t="n">
        <v>12.9</v>
      </c>
      <c r="J59" s="17" t="n">
        <v>16.9</v>
      </c>
      <c r="K59" s="19" t="s">
        <v>64</v>
      </c>
      <c r="L59" s="20" t="n">
        <v>14.9</v>
      </c>
      <c r="M59" s="18" t="n">
        <f aca="false">IFERROR(L59*(1-Premissas!$B$5)*(1-Premissas!$B$6)-H59-Premissas!$B$7,"")</f>
        <v>6.31345</v>
      </c>
      <c r="N59" s="21" t="n">
        <f aca="false">IFERROR(M59/L59,"")</f>
        <v>0.423721476510067</v>
      </c>
      <c r="O59" s="18" t="n">
        <f aca="false">IFERROR(L59*(1-Premissas!$B$8)-Premissas!$B$9-H59-Premissas!$B$7,"")</f>
        <v>-0.838</v>
      </c>
      <c r="P59" s="18" t="n">
        <f aca="false">IFERROR(L59*(1-Premissas!$B$10)-Premissas!$B$11-H59-Premissas!$B$7,"")</f>
        <v>0.220000000000002</v>
      </c>
      <c r="Q59" s="18" t="n">
        <f aca="false">IFERROR(M59*F59,"")</f>
        <v>6.31345</v>
      </c>
      <c r="R59" s="22" t="n">
        <f aca="false">IFERROR(IF(M59&gt;0,ROUNDUP(Premissas!$B$12/M59,0),"sem lucro"),"")</f>
        <v>159</v>
      </c>
      <c r="S59" s="15" t="s">
        <v>243</v>
      </c>
      <c r="T59" s="23" t="s">
        <v>66</v>
      </c>
      <c r="U59" s="15"/>
      <c r="V59" s="18" t="n">
        <f aca="false">IF(AND(T59="S",ISNUMBER(L59),ISNUMBER(F59)),L59*F59*X59,0)</f>
        <v>178.8</v>
      </c>
      <c r="W59" s="18" t="n">
        <f aca="false">IF(AND(T59="S",ISNUMBER(Q59)),Q59*X59,0)</f>
        <v>75.7614</v>
      </c>
      <c r="X59" s="23" t="n">
        <v>12</v>
      </c>
      <c r="Y59" s="18" t="n">
        <f aca="false">IF(AND(T59="S",ISNUMBER(G59)),G59*X59,0)</f>
        <v>80.4</v>
      </c>
    </row>
    <row r="60" customFormat="false" ht="15" hidden="false" customHeight="false" outlineLevel="0" collapsed="false">
      <c r="A60" s="14" t="s">
        <v>244</v>
      </c>
      <c r="B60" s="15" t="s">
        <v>245</v>
      </c>
      <c r="C60" s="14" t="s">
        <v>207</v>
      </c>
      <c r="D60" s="14" t="s">
        <v>63</v>
      </c>
      <c r="E60" s="14" t="n">
        <v>5</v>
      </c>
      <c r="F60" s="16" t="n">
        <v>24</v>
      </c>
      <c r="G60" s="17" t="n">
        <v>161.7</v>
      </c>
      <c r="H60" s="18" t="n">
        <f aca="false">IF(ISNUMBER(G60),IFERROR(G60/F60,""),"")</f>
        <v>6.7375</v>
      </c>
      <c r="I60" s="17" t="n">
        <v>12.9</v>
      </c>
      <c r="J60" s="17" t="n">
        <v>13.29</v>
      </c>
      <c r="K60" s="19" t="s">
        <v>64</v>
      </c>
      <c r="L60" s="20" t="n">
        <v>12.9</v>
      </c>
      <c r="M60" s="18" t="n">
        <f aca="false">IFERROR(L60*(1-Premissas!$B$5)*(1-Premissas!$B$6)-H60-Premissas!$B$7,"")</f>
        <v>4.39495</v>
      </c>
      <c r="N60" s="21" t="n">
        <f aca="false">IFERROR(M60/L60,"")</f>
        <v>0.340693798449612</v>
      </c>
      <c r="O60" s="18" t="n">
        <f aca="false">IFERROR(L60*(1-Premissas!$B$8)-Premissas!$B$9-H60-Premissas!$B$7,"")</f>
        <v>-2.6355</v>
      </c>
      <c r="P60" s="18" t="n">
        <f aca="false">IFERROR(L60*(1-Premissas!$B$10)-Premissas!$B$11-H60-Premissas!$B$7,"")</f>
        <v>-1.4175</v>
      </c>
      <c r="Q60" s="18" t="n">
        <f aca="false">IFERROR(M60*F60,"")</f>
        <v>105.4788</v>
      </c>
      <c r="R60" s="22" t="n">
        <f aca="false">IFERROR(IF(M60&gt;0,ROUNDUP(Premissas!$B$12/M60,0),"sem lucro"),"")</f>
        <v>228</v>
      </c>
      <c r="S60" s="15" t="s">
        <v>82</v>
      </c>
      <c r="T60" s="23" t="s">
        <v>76</v>
      </c>
      <c r="U60" s="15" t="s">
        <v>246</v>
      </c>
      <c r="V60" s="18" t="n">
        <f aca="false">IF(AND(T60="S",ISNUMBER(L60),ISNUMBER(F60)),L60*F60*X60,0)</f>
        <v>0</v>
      </c>
      <c r="W60" s="18" t="n">
        <f aca="false">IF(AND(T60="S",ISNUMBER(Q60)),Q60*X60,0)</f>
        <v>0</v>
      </c>
      <c r="X60" s="23" t="n">
        <v>1</v>
      </c>
      <c r="Y60" s="18" t="n">
        <f aca="false">IF(AND(T60="S",ISNUMBER(G60)),G60*X60,0)</f>
        <v>0</v>
      </c>
    </row>
    <row r="61" customFormat="false" ht="15" hidden="false" customHeight="false" outlineLevel="0" collapsed="false">
      <c r="A61" s="14" t="s">
        <v>247</v>
      </c>
      <c r="B61" s="15" t="s">
        <v>248</v>
      </c>
      <c r="C61" s="14" t="s">
        <v>207</v>
      </c>
      <c r="D61" s="14" t="s">
        <v>63</v>
      </c>
      <c r="E61" s="14" t="n">
        <v>5</v>
      </c>
      <c r="F61" s="16" t="n">
        <v>24</v>
      </c>
      <c r="G61" s="17" t="n">
        <v>138.99</v>
      </c>
      <c r="H61" s="18" t="n">
        <f aca="false">IF(ISNUMBER(G61),IFERROR(G61/F61,""),"")</f>
        <v>5.79125</v>
      </c>
      <c r="I61" s="17" t="n">
        <v>14.9</v>
      </c>
      <c r="J61" s="17" t="n">
        <v>18.5</v>
      </c>
      <c r="K61" s="19" t="s">
        <v>64</v>
      </c>
      <c r="L61" s="20" t="n">
        <v>14.9</v>
      </c>
      <c r="M61" s="18" t="n">
        <f aca="false">IFERROR(L61*(1-Premissas!$B$5)*(1-Premissas!$B$6)-H61-Premissas!$B$7,"")</f>
        <v>7.2222</v>
      </c>
      <c r="N61" s="21" t="n">
        <f aca="false">IFERROR(M61/L61,"")</f>
        <v>0.484711409395973</v>
      </c>
      <c r="O61" s="18" t="n">
        <f aca="false">IFERROR(L61*(1-Premissas!$B$8)-Premissas!$B$9-H61-Premissas!$B$7,"")</f>
        <v>0.0707499999999994</v>
      </c>
      <c r="P61" s="18" t="n">
        <f aca="false">IFERROR(L61*(1-Premissas!$B$10)-Premissas!$B$11-H61-Premissas!$B$7,"")</f>
        <v>1.12875</v>
      </c>
      <c r="Q61" s="18" t="n">
        <f aca="false">IFERROR(M61*F61,"")</f>
        <v>173.3328</v>
      </c>
      <c r="R61" s="22" t="n">
        <f aca="false">IFERROR(IF(M61&gt;0,ROUNDUP(Premissas!$B$12/M61,0),"sem lucro"),"")</f>
        <v>139</v>
      </c>
      <c r="S61" s="15" t="s">
        <v>65</v>
      </c>
      <c r="T61" s="23" t="s">
        <v>66</v>
      </c>
      <c r="U61" s="15" t="s">
        <v>249</v>
      </c>
      <c r="V61" s="18" t="n">
        <f aca="false">IF(AND(T61="S",ISNUMBER(L61),ISNUMBER(F61)),L61*F61*X61,0)</f>
        <v>357.6</v>
      </c>
      <c r="W61" s="18" t="n">
        <f aca="false">IF(AND(T61="S",ISNUMBER(Q61)),Q61*X61,0)</f>
        <v>173.3328</v>
      </c>
      <c r="X61" s="23" t="n">
        <v>1</v>
      </c>
      <c r="Y61" s="18" t="n">
        <f aca="false">IF(AND(T61="S",ISNUMBER(G61)),G61*X61,0)</f>
        <v>138.99</v>
      </c>
    </row>
    <row r="62" customFormat="false" ht="15" hidden="false" customHeight="false" outlineLevel="0" collapsed="false">
      <c r="A62" s="14" t="s">
        <v>250</v>
      </c>
      <c r="B62" s="15" t="s">
        <v>251</v>
      </c>
      <c r="C62" s="14" t="s">
        <v>207</v>
      </c>
      <c r="D62" s="14" t="s">
        <v>117</v>
      </c>
      <c r="E62" s="14" t="n">
        <v>5</v>
      </c>
      <c r="F62" s="16" t="n">
        <v>24</v>
      </c>
      <c r="G62" s="17" t="n">
        <v>191.2</v>
      </c>
      <c r="H62" s="18" t="n">
        <f aca="false">IF(ISNUMBER(G62),IFERROR(G62/F62,""),"")</f>
        <v>7.96666666666667</v>
      </c>
      <c r="I62" s="17" t="n">
        <v>12.9</v>
      </c>
      <c r="J62" s="17" t="n">
        <v>14.9</v>
      </c>
      <c r="K62" s="19" t="s">
        <v>64</v>
      </c>
      <c r="L62" s="20" t="n">
        <v>14.9</v>
      </c>
      <c r="M62" s="18" t="n">
        <f aca="false">IFERROR(L62*(1-Premissas!$B$5)*(1-Premissas!$B$6)-H62-Premissas!$B$7,"")</f>
        <v>5.04678333333333</v>
      </c>
      <c r="N62" s="21" t="n">
        <f aca="false">IFERROR(M62/L62,"")</f>
        <v>0.33871029082774</v>
      </c>
      <c r="O62" s="18" t="n">
        <f aca="false">IFERROR(L62*(1-Premissas!$B$8)-Premissas!$B$9-H62-Premissas!$B$7,"")</f>
        <v>-2.10466666666667</v>
      </c>
      <c r="P62" s="18" t="n">
        <f aca="false">IFERROR(L62*(1-Premissas!$B$10)-Premissas!$B$11-H62-Premissas!$B$7,"")</f>
        <v>-1.04666666666666</v>
      </c>
      <c r="Q62" s="18" t="n">
        <f aca="false">IFERROR(M62*F62,"")</f>
        <v>121.1228</v>
      </c>
      <c r="R62" s="22" t="n">
        <f aca="false">IFERROR(IF(M62&gt;0,ROUNDUP(Premissas!$B$12/M62,0),"sem lucro"),"")</f>
        <v>199</v>
      </c>
      <c r="S62" s="15" t="s">
        <v>252</v>
      </c>
      <c r="T62" s="23" t="s">
        <v>76</v>
      </c>
      <c r="U62" s="15"/>
      <c r="V62" s="18" t="n">
        <f aca="false">IF(AND(T62="S",ISNUMBER(L62),ISNUMBER(F62)),L62*F62*X62,0)</f>
        <v>0</v>
      </c>
      <c r="W62" s="18" t="n">
        <f aca="false">IF(AND(T62="S",ISNUMBER(Q62)),Q62*X62,0)</f>
        <v>0</v>
      </c>
      <c r="X62" s="23" t="n">
        <v>1</v>
      </c>
      <c r="Y62" s="18" t="n">
        <f aca="false">IF(AND(T62="S",ISNUMBER(G62)),G62*X62,0)</f>
        <v>0</v>
      </c>
    </row>
    <row r="63" customFormat="false" ht="15" hidden="false" customHeight="false" outlineLevel="0" collapsed="false">
      <c r="A63" s="14" t="s">
        <v>253</v>
      </c>
      <c r="B63" s="15" t="s">
        <v>254</v>
      </c>
      <c r="C63" s="14" t="s">
        <v>255</v>
      </c>
      <c r="D63" s="14" t="s">
        <v>63</v>
      </c>
      <c r="E63" s="14" t="n">
        <v>5</v>
      </c>
      <c r="F63" s="16" t="n">
        <v>36</v>
      </c>
      <c r="G63" s="17" t="n">
        <v>224.9</v>
      </c>
      <c r="H63" s="18" t="n">
        <f aca="false">IF(ISNUMBER(G63),IFERROR(G63/F63,""),"")</f>
        <v>6.24722222222222</v>
      </c>
      <c r="I63" s="17" t="n">
        <v>12.9</v>
      </c>
      <c r="J63" s="17" t="n">
        <v>12.9</v>
      </c>
      <c r="K63" s="19" t="s">
        <v>64</v>
      </c>
      <c r="L63" s="20" t="n">
        <v>12.9</v>
      </c>
      <c r="M63" s="18" t="n">
        <f aca="false">IFERROR(L63*(1-Premissas!$B$5)*(1-Premissas!$B$6)-H63-Premissas!$B$7,"")</f>
        <v>4.88522777777778</v>
      </c>
      <c r="N63" s="21" t="n">
        <f aca="false">IFERROR(M63/L63,"")</f>
        <v>0.378699827734711</v>
      </c>
      <c r="O63" s="18" t="n">
        <f aca="false">IFERROR(L63*(1-Premissas!$B$8)-Premissas!$B$9-H63-Premissas!$B$7,"")</f>
        <v>-2.14522222222222</v>
      </c>
      <c r="P63" s="18" t="n">
        <f aca="false">IFERROR(L63*(1-Premissas!$B$10)-Premissas!$B$11-H63-Premissas!$B$7,"")</f>
        <v>-0.927222222222222</v>
      </c>
      <c r="Q63" s="18" t="n">
        <f aca="false">IFERROR(M63*F63,"")</f>
        <v>175.8682</v>
      </c>
      <c r="R63" s="22" t="n">
        <f aca="false">IFERROR(IF(M63&gt;0,ROUNDUP(Premissas!$B$12/M63,0),"sem lucro"),"")</f>
        <v>205</v>
      </c>
      <c r="S63" s="15" t="s">
        <v>82</v>
      </c>
      <c r="T63" s="23" t="s">
        <v>76</v>
      </c>
      <c r="U63" s="15" t="s">
        <v>256</v>
      </c>
      <c r="V63" s="18" t="n">
        <f aca="false">IF(AND(T63="S",ISNUMBER(L63),ISNUMBER(F63)),L63*F63*X63,0)</f>
        <v>0</v>
      </c>
      <c r="W63" s="18" t="n">
        <f aca="false">IF(AND(T63="S",ISNUMBER(Q63)),Q63*X63,0)</f>
        <v>0</v>
      </c>
      <c r="X63" s="23" t="n">
        <v>1</v>
      </c>
      <c r="Y63" s="18" t="n">
        <f aca="false">IF(AND(T63="S",ISNUMBER(G63)),G63*X63,0)</f>
        <v>0</v>
      </c>
    </row>
    <row r="64" customFormat="false" ht="15" hidden="false" customHeight="false" outlineLevel="0" collapsed="false">
      <c r="A64" s="14" t="s">
        <v>257</v>
      </c>
      <c r="B64" s="15" t="s">
        <v>258</v>
      </c>
      <c r="C64" s="14" t="s">
        <v>259</v>
      </c>
      <c r="D64" s="14" t="s">
        <v>117</v>
      </c>
      <c r="E64" s="14" t="n">
        <v>5</v>
      </c>
      <c r="F64" s="16" t="n">
        <v>36</v>
      </c>
      <c r="G64" s="17" t="n">
        <v>224.9</v>
      </c>
      <c r="H64" s="18" t="n">
        <f aca="false">IF(ISNUMBER(G64),IFERROR(G64/F64,""),"")</f>
        <v>6.24722222222222</v>
      </c>
      <c r="I64" s="17" t="n">
        <v>2.08</v>
      </c>
      <c r="J64" s="17" t="n">
        <v>12.9</v>
      </c>
      <c r="K64" s="14" t="s">
        <v>93</v>
      </c>
      <c r="L64" s="20" t="n">
        <v>11.9</v>
      </c>
      <c r="M64" s="18" t="n">
        <f aca="false">IFERROR(L64*(1-Premissas!$B$5)*(1-Premissas!$B$6)-H64-Premissas!$B$7,"")</f>
        <v>3.94472777777778</v>
      </c>
      <c r="N64" s="21" t="n">
        <f aca="false">IFERROR(M64/L64,"")</f>
        <v>0.331489729225023</v>
      </c>
      <c r="O64" s="18" t="n">
        <f aca="false">IFERROR(L64*(1-Premissas!$B$8)-Premissas!$B$9-H64-Premissas!$B$7,"")</f>
        <v>-3.02522222222222</v>
      </c>
      <c r="P64" s="18" t="n">
        <f aca="false">IFERROR(L64*(1-Premissas!$B$10)-Premissas!$B$11-H64-Premissas!$B$7,"")</f>
        <v>-1.72722222222222</v>
      </c>
      <c r="Q64" s="18" t="n">
        <f aca="false">IFERROR(M64*F64,"")</f>
        <v>142.0102</v>
      </c>
      <c r="R64" s="22" t="n">
        <f aca="false">IFERROR(IF(M64&gt;0,ROUNDUP(Premissas!$B$12/M64,0),"sem lucro"),"")</f>
        <v>254</v>
      </c>
      <c r="S64" s="15" t="s">
        <v>260</v>
      </c>
      <c r="T64" s="23" t="s">
        <v>76</v>
      </c>
      <c r="U64" s="15" t="s">
        <v>261</v>
      </c>
      <c r="V64" s="18" t="n">
        <f aca="false">IF(AND(T64="S",ISNUMBER(L64),ISNUMBER(F64)),L64*F64*X64,0)</f>
        <v>0</v>
      </c>
      <c r="W64" s="18" t="n">
        <f aca="false">IF(AND(T64="S",ISNUMBER(Q64)),Q64*X64,0)</f>
        <v>0</v>
      </c>
      <c r="X64" s="23" t="n">
        <v>1</v>
      </c>
      <c r="Y64" s="18" t="n">
        <f aca="false">IF(AND(T64="S",ISNUMBER(G64)),G64*X64,0)</f>
        <v>0</v>
      </c>
    </row>
    <row r="65" customFormat="false" ht="15" hidden="false" customHeight="false" outlineLevel="0" collapsed="false">
      <c r="A65" s="14" t="s">
        <v>262</v>
      </c>
      <c r="B65" s="15" t="s">
        <v>263</v>
      </c>
      <c r="C65" s="14" t="s">
        <v>259</v>
      </c>
      <c r="D65" s="14" t="s">
        <v>117</v>
      </c>
      <c r="E65" s="14" t="n">
        <v>5</v>
      </c>
      <c r="F65" s="16" t="n">
        <v>36</v>
      </c>
      <c r="G65" s="17" t="n">
        <v>229.99</v>
      </c>
      <c r="H65" s="18" t="n">
        <f aca="false">IF(ISNUMBER(G65),IFERROR(G65/F65,""),"")</f>
        <v>6.38861111111111</v>
      </c>
      <c r="I65" s="17" t="n">
        <v>12.9</v>
      </c>
      <c r="J65" s="17" t="n">
        <v>12.9</v>
      </c>
      <c r="K65" s="19" t="s">
        <v>64</v>
      </c>
      <c r="L65" s="20" t="n">
        <v>12.9</v>
      </c>
      <c r="M65" s="18" t="n">
        <f aca="false">IFERROR(L65*(1-Premissas!$B$5)*(1-Premissas!$B$6)-H65-Premissas!$B$7,"")</f>
        <v>4.74383888888889</v>
      </c>
      <c r="N65" s="21" t="n">
        <f aca="false">IFERROR(M65/L65,"")</f>
        <v>0.367739448751077</v>
      </c>
      <c r="O65" s="18" t="n">
        <f aca="false">IFERROR(L65*(1-Premissas!$B$8)-Premissas!$B$9-H65-Premissas!$B$7,"")</f>
        <v>-2.28661111111111</v>
      </c>
      <c r="P65" s="18" t="n">
        <f aca="false">IFERROR(L65*(1-Premissas!$B$10)-Premissas!$B$11-H65-Premissas!$B$7,"")</f>
        <v>-1.06861111111111</v>
      </c>
      <c r="Q65" s="18" t="n">
        <f aca="false">IFERROR(M65*F65,"")</f>
        <v>170.7782</v>
      </c>
      <c r="R65" s="22" t="n">
        <f aca="false">IFERROR(IF(M65&gt;0,ROUNDUP(Premissas!$B$12/M65,0),"sem lucro"),"")</f>
        <v>211</v>
      </c>
      <c r="S65" s="15" t="s">
        <v>252</v>
      </c>
      <c r="T65" s="23" t="s">
        <v>76</v>
      </c>
      <c r="U65" s="15" t="s">
        <v>256</v>
      </c>
      <c r="V65" s="18" t="n">
        <f aca="false">IF(AND(T65="S",ISNUMBER(L65),ISNUMBER(F65)),L65*F65*X65,0)</f>
        <v>0</v>
      </c>
      <c r="W65" s="18" t="n">
        <f aca="false">IF(AND(T65="S",ISNUMBER(Q65)),Q65*X65,0)</f>
        <v>0</v>
      </c>
      <c r="X65" s="23" t="n">
        <v>1</v>
      </c>
      <c r="Y65" s="18" t="n">
        <f aca="false">IF(AND(T65="S",ISNUMBER(G65)),G65*X65,0)</f>
        <v>0</v>
      </c>
    </row>
    <row r="66" customFormat="false" ht="15" hidden="false" customHeight="false" outlineLevel="0" collapsed="false">
      <c r="A66" s="14" t="s">
        <v>264</v>
      </c>
      <c r="B66" s="15" t="s">
        <v>265</v>
      </c>
      <c r="C66" s="14" t="s">
        <v>207</v>
      </c>
      <c r="D66" s="14" t="s">
        <v>63</v>
      </c>
      <c r="E66" s="14" t="n">
        <v>5</v>
      </c>
      <c r="F66" s="16" t="n">
        <v>24</v>
      </c>
      <c r="G66" s="17" t="n">
        <v>158.8</v>
      </c>
      <c r="H66" s="18" t="n">
        <f aca="false">IF(ISNUMBER(G66),IFERROR(G66/F66,""),"")</f>
        <v>6.61666666666667</v>
      </c>
      <c r="I66" s="17" t="n">
        <v>12.9</v>
      </c>
      <c r="J66" s="17" t="n">
        <v>12.9</v>
      </c>
      <c r="K66" s="19" t="s">
        <v>64</v>
      </c>
      <c r="L66" s="20" t="n">
        <v>12.9</v>
      </c>
      <c r="M66" s="18" t="n">
        <f aca="false">IFERROR(L66*(1-Premissas!$B$5)*(1-Premissas!$B$6)-H66-Premissas!$B$7,"")</f>
        <v>4.51578333333333</v>
      </c>
      <c r="N66" s="21" t="n">
        <f aca="false">IFERROR(M66/L66,"")</f>
        <v>0.350060723514212</v>
      </c>
      <c r="O66" s="18" t="n">
        <f aca="false">IFERROR(L66*(1-Premissas!$B$8)-Premissas!$B$9-H66-Premissas!$B$7,"")</f>
        <v>-2.51466666666667</v>
      </c>
      <c r="P66" s="18" t="n">
        <f aca="false">IFERROR(L66*(1-Premissas!$B$10)-Premissas!$B$11-H66-Premissas!$B$7,"")</f>
        <v>-1.29666666666667</v>
      </c>
      <c r="Q66" s="18" t="n">
        <f aca="false">IFERROR(M66*F66,"")</f>
        <v>108.3788</v>
      </c>
      <c r="R66" s="22" t="n">
        <f aca="false">IFERROR(IF(M66&gt;0,ROUNDUP(Premissas!$B$12/M66,0),"sem lucro"),"")</f>
        <v>222</v>
      </c>
      <c r="S66" s="15" t="s">
        <v>266</v>
      </c>
      <c r="T66" s="23" t="s">
        <v>76</v>
      </c>
      <c r="U66" s="15" t="s">
        <v>267</v>
      </c>
      <c r="V66" s="18" t="n">
        <f aca="false">IF(AND(T66="S",ISNUMBER(L66),ISNUMBER(F66)),L66*F66*X66,0)</f>
        <v>0</v>
      </c>
      <c r="W66" s="18" t="n">
        <f aca="false">IF(AND(T66="S",ISNUMBER(Q66)),Q66*X66,0)</f>
        <v>0</v>
      </c>
      <c r="X66" s="23" t="n">
        <v>1</v>
      </c>
      <c r="Y66" s="18" t="n">
        <f aca="false">IF(AND(T66="S",ISNUMBER(G66)),G66*X66,0)</f>
        <v>0</v>
      </c>
    </row>
    <row r="67" customFormat="false" ht="15" hidden="false" customHeight="false" outlineLevel="0" collapsed="false">
      <c r="A67" s="14" t="s">
        <v>268</v>
      </c>
      <c r="B67" s="15" t="s">
        <v>269</v>
      </c>
      <c r="C67" s="14" t="s">
        <v>207</v>
      </c>
      <c r="D67" s="14" t="s">
        <v>63</v>
      </c>
      <c r="E67" s="14" t="n">
        <v>5</v>
      </c>
      <c r="F67" s="16" t="n">
        <v>48</v>
      </c>
      <c r="G67" s="17" t="n">
        <v>115.99</v>
      </c>
      <c r="H67" s="18" t="n">
        <f aca="false">IF(ISNUMBER(G67),IFERROR(G67/F67,""),"")</f>
        <v>2.41645833333333</v>
      </c>
      <c r="I67" s="17" t="n">
        <v>6.76</v>
      </c>
      <c r="J67" s="17" t="n">
        <v>15.9</v>
      </c>
      <c r="K67" s="14" t="s">
        <v>93</v>
      </c>
      <c r="L67" s="20" t="n">
        <v>12.9</v>
      </c>
      <c r="M67" s="18" t="n">
        <f aca="false">IFERROR(L67*(1-Premissas!$B$5)*(1-Premissas!$B$6)-H67-Premissas!$B$7,"")</f>
        <v>8.71599166666667</v>
      </c>
      <c r="N67" s="21" t="n">
        <f aca="false">IFERROR(M67/L67,"")</f>
        <v>0.67565826873385</v>
      </c>
      <c r="O67" s="18" t="n">
        <f aca="false">IFERROR(L67*(1-Premissas!$B$8)-Premissas!$B$9-H67-Premissas!$B$7,"")</f>
        <v>1.68554166666667</v>
      </c>
      <c r="P67" s="18" t="n">
        <f aca="false">IFERROR(L67*(1-Premissas!$B$10)-Premissas!$B$11-H67-Premissas!$B$7,"")</f>
        <v>2.90354166666667</v>
      </c>
      <c r="Q67" s="18" t="n">
        <f aca="false">IFERROR(M67*F67,"")</f>
        <v>418.3676</v>
      </c>
      <c r="R67" s="22" t="n">
        <f aca="false">IFERROR(IF(M67&gt;0,ROUNDUP(Premissas!$B$12/M67,0),"sem lucro"),"")</f>
        <v>115</v>
      </c>
      <c r="S67" s="15" t="s">
        <v>65</v>
      </c>
      <c r="T67" s="23" t="s">
        <v>66</v>
      </c>
      <c r="U67" s="15" t="s">
        <v>270</v>
      </c>
      <c r="V67" s="18" t="n">
        <f aca="false">IF(AND(T67="S",ISNUMBER(L67),ISNUMBER(F67)),L67*F67*X67,0)</f>
        <v>619.2</v>
      </c>
      <c r="W67" s="18" t="n">
        <f aca="false">IF(AND(T67="S",ISNUMBER(Q67)),Q67*X67,0)</f>
        <v>418.3676</v>
      </c>
      <c r="X67" s="23" t="n">
        <v>1</v>
      </c>
      <c r="Y67" s="18" t="n">
        <f aca="false">IF(AND(T67="S",ISNUMBER(G67)),G67*X67,0)</f>
        <v>115.99</v>
      </c>
    </row>
    <row r="68" customFormat="false" ht="15" hidden="false" customHeight="false" outlineLevel="0" collapsed="false">
      <c r="A68" s="14" t="s">
        <v>271</v>
      </c>
      <c r="B68" s="15" t="s">
        <v>272</v>
      </c>
      <c r="C68" s="14" t="s">
        <v>207</v>
      </c>
      <c r="D68" s="14" t="s">
        <v>157</v>
      </c>
      <c r="E68" s="14" t="n">
        <v>5</v>
      </c>
      <c r="F68" s="16" t="n">
        <v>24</v>
      </c>
      <c r="G68" s="17" t="n">
        <v>158.8</v>
      </c>
      <c r="H68" s="18" t="n">
        <f aca="false">IF(ISNUMBER(G68),IFERROR(G68/F68,""),"")</f>
        <v>6.61666666666667</v>
      </c>
      <c r="I68" s="17" t="n">
        <v>12.9</v>
      </c>
      <c r="J68" s="17" t="n">
        <v>12.9</v>
      </c>
      <c r="K68" s="19" t="s">
        <v>64</v>
      </c>
      <c r="L68" s="20" t="n">
        <v>12.9</v>
      </c>
      <c r="M68" s="18" t="n">
        <f aca="false">IFERROR(L68*(1-Premissas!$B$5)*(1-Premissas!$B$6)-H68-Premissas!$B$7,"")</f>
        <v>4.51578333333333</v>
      </c>
      <c r="N68" s="21" t="n">
        <f aca="false">IFERROR(M68/L68,"")</f>
        <v>0.350060723514212</v>
      </c>
      <c r="O68" s="18" t="n">
        <f aca="false">IFERROR(L68*(1-Premissas!$B$8)-Premissas!$B$9-H68-Premissas!$B$7,"")</f>
        <v>-2.51466666666667</v>
      </c>
      <c r="P68" s="18" t="n">
        <f aca="false">IFERROR(L68*(1-Premissas!$B$10)-Premissas!$B$11-H68-Premissas!$B$7,"")</f>
        <v>-1.29666666666667</v>
      </c>
      <c r="Q68" s="18" t="n">
        <f aca="false">IFERROR(M68*F68,"")</f>
        <v>108.3788</v>
      </c>
      <c r="R68" s="22" t="n">
        <f aca="false">IFERROR(IF(M68&gt;0,ROUNDUP(Premissas!$B$12/M68,0),"sem lucro"),"")</f>
        <v>222</v>
      </c>
      <c r="S68" s="15" t="s">
        <v>266</v>
      </c>
      <c r="T68" s="23" t="s">
        <v>76</v>
      </c>
      <c r="U68" s="15" t="s">
        <v>267</v>
      </c>
      <c r="V68" s="18" t="n">
        <f aca="false">IF(AND(T68="S",ISNUMBER(L68),ISNUMBER(F68)),L68*F68*X68,0)</f>
        <v>0</v>
      </c>
      <c r="W68" s="18" t="n">
        <f aca="false">IF(AND(T68="S",ISNUMBER(Q68)),Q68*X68,0)</f>
        <v>0</v>
      </c>
      <c r="X68" s="23" t="n">
        <v>1</v>
      </c>
      <c r="Y68" s="18" t="n">
        <f aca="false">IF(AND(T68="S",ISNUMBER(G68)),G68*X68,0)</f>
        <v>0</v>
      </c>
    </row>
    <row r="69" customFormat="false" ht="15" hidden="false" customHeight="false" outlineLevel="0" collapsed="false">
      <c r="A69" s="14" t="s">
        <v>273</v>
      </c>
      <c r="B69" s="15" t="s">
        <v>274</v>
      </c>
      <c r="C69" s="14" t="s">
        <v>207</v>
      </c>
      <c r="D69" s="14" t="s">
        <v>117</v>
      </c>
      <c r="E69" s="14" t="n">
        <v>5</v>
      </c>
      <c r="F69" s="16" t="n">
        <v>24</v>
      </c>
      <c r="G69" s="17" t="n">
        <v>161.7</v>
      </c>
      <c r="H69" s="18" t="n">
        <f aca="false">IF(ISNUMBER(G69),IFERROR(G69/F69,""),"")</f>
        <v>6.7375</v>
      </c>
      <c r="I69" s="17" t="n">
        <v>12.9</v>
      </c>
      <c r="J69" s="17" t="n">
        <v>12.9</v>
      </c>
      <c r="K69" s="19" t="s">
        <v>64</v>
      </c>
      <c r="L69" s="20" t="n">
        <v>12.9</v>
      </c>
      <c r="M69" s="18" t="n">
        <f aca="false">IFERROR(L69*(1-Premissas!$B$5)*(1-Premissas!$B$6)-H69-Premissas!$B$7,"")</f>
        <v>4.39495</v>
      </c>
      <c r="N69" s="21" t="n">
        <f aca="false">IFERROR(M69/L69,"")</f>
        <v>0.340693798449612</v>
      </c>
      <c r="O69" s="18" t="n">
        <f aca="false">IFERROR(L69*(1-Premissas!$B$8)-Premissas!$B$9-H69-Premissas!$B$7,"")</f>
        <v>-2.6355</v>
      </c>
      <c r="P69" s="18" t="n">
        <f aca="false">IFERROR(L69*(1-Premissas!$B$10)-Premissas!$B$11-H69-Premissas!$B$7,"")</f>
        <v>-1.4175</v>
      </c>
      <c r="Q69" s="18" t="n">
        <f aca="false">IFERROR(M69*F69,"")</f>
        <v>105.4788</v>
      </c>
      <c r="R69" s="22" t="n">
        <f aca="false">IFERROR(IF(M69&gt;0,ROUNDUP(Premissas!$B$12/M69,0),"sem lucro"),"")</f>
        <v>228</v>
      </c>
      <c r="S69" s="15" t="s">
        <v>252</v>
      </c>
      <c r="T69" s="23" t="s">
        <v>76</v>
      </c>
      <c r="U69" s="15"/>
      <c r="V69" s="18" t="n">
        <f aca="false">IF(AND(T69="S",ISNUMBER(L69),ISNUMBER(F69)),L69*F69*X69,0)</f>
        <v>0</v>
      </c>
      <c r="W69" s="18" t="n">
        <f aca="false">IF(AND(T69="S",ISNUMBER(Q69)),Q69*X69,0)</f>
        <v>0</v>
      </c>
      <c r="X69" s="23" t="n">
        <v>1</v>
      </c>
      <c r="Y69" s="18" t="n">
        <f aca="false">IF(AND(T69="S",ISNUMBER(G69)),G69*X69,0)</f>
        <v>0</v>
      </c>
    </row>
    <row r="70" customFormat="false" ht="15" hidden="false" customHeight="false" outlineLevel="0" collapsed="false">
      <c r="A70" s="14" t="s">
        <v>275</v>
      </c>
      <c r="B70" s="15" t="s">
        <v>276</v>
      </c>
      <c r="C70" s="14" t="s">
        <v>207</v>
      </c>
      <c r="D70" s="14" t="s">
        <v>63</v>
      </c>
      <c r="E70" s="14" t="n">
        <v>5</v>
      </c>
      <c r="F70" s="16" t="n">
        <v>24</v>
      </c>
      <c r="G70" s="17" t="n">
        <v>158.8</v>
      </c>
      <c r="H70" s="18" t="n">
        <f aca="false">IF(ISNUMBER(G70),IFERROR(G70/F70,""),"")</f>
        <v>6.61666666666667</v>
      </c>
      <c r="I70" s="17" t="n">
        <v>19.9</v>
      </c>
      <c r="J70" s="17" t="n">
        <v>21.7</v>
      </c>
      <c r="K70" s="14" t="s">
        <v>93</v>
      </c>
      <c r="L70" s="20" t="n">
        <v>17.9</v>
      </c>
      <c r="M70" s="18" t="n">
        <f aca="false">IFERROR(L70*(1-Premissas!$B$5)*(1-Premissas!$B$6)-H70-Premissas!$B$7,"")</f>
        <v>9.21828333333333</v>
      </c>
      <c r="N70" s="21" t="n">
        <f aca="false">IFERROR(M70/L70,"")</f>
        <v>0.514987895716946</v>
      </c>
      <c r="O70" s="18" t="n">
        <f aca="false">IFERROR(L70*(1-Premissas!$B$8)-Premissas!$B$9-H70-Premissas!$B$7,"")</f>
        <v>1.88533333333333</v>
      </c>
      <c r="P70" s="18" t="n">
        <f aca="false">IFERROR(L70*(1-Premissas!$B$10)-Premissas!$B$11-H70-Premissas!$B$7,"")</f>
        <v>2.70333333333333</v>
      </c>
      <c r="Q70" s="18" t="n">
        <f aca="false">IFERROR(M70*F70,"")</f>
        <v>221.2388</v>
      </c>
      <c r="R70" s="22" t="n">
        <f aca="false">IFERROR(IF(M70&gt;0,ROUNDUP(Premissas!$B$12/M70,0),"sem lucro"),"")</f>
        <v>109</v>
      </c>
      <c r="S70" s="15" t="s">
        <v>65</v>
      </c>
      <c r="T70" s="23" t="s">
        <v>66</v>
      </c>
      <c r="U70" s="15" t="s">
        <v>277</v>
      </c>
      <c r="V70" s="18" t="n">
        <f aca="false">IF(AND(T70="S",ISNUMBER(L70),ISNUMBER(F70)),L70*F70*X70,0)</f>
        <v>429.6</v>
      </c>
      <c r="W70" s="18" t="n">
        <f aca="false">IF(AND(T70="S",ISNUMBER(Q70)),Q70*X70,0)</f>
        <v>221.2388</v>
      </c>
      <c r="X70" s="23" t="n">
        <v>1</v>
      </c>
      <c r="Y70" s="18" t="n">
        <f aca="false">IF(AND(T70="S",ISNUMBER(G70)),G70*X70,0)</f>
        <v>158.8</v>
      </c>
    </row>
    <row r="71" customFormat="false" ht="15" hidden="false" customHeight="false" outlineLevel="0" collapsed="false">
      <c r="A71" s="14" t="s">
        <v>278</v>
      </c>
      <c r="B71" s="15" t="s">
        <v>279</v>
      </c>
      <c r="C71" s="14" t="s">
        <v>207</v>
      </c>
      <c r="D71" s="14" t="s">
        <v>125</v>
      </c>
      <c r="E71" s="14" t="n">
        <v>5</v>
      </c>
      <c r="F71" s="16" t="n">
        <v>24</v>
      </c>
      <c r="G71" s="17" t="n">
        <v>126.4</v>
      </c>
      <c r="H71" s="18" t="n">
        <f aca="false">IF(ISNUMBER(G71),IFERROR(G71/F71,""),"")</f>
        <v>5.26666666666667</v>
      </c>
      <c r="I71" s="17" t="n">
        <v>12.9</v>
      </c>
      <c r="J71" s="17" t="n">
        <v>12.9</v>
      </c>
      <c r="K71" s="19" t="s">
        <v>64</v>
      </c>
      <c r="L71" s="20" t="n">
        <v>12.9</v>
      </c>
      <c r="M71" s="18" t="n">
        <f aca="false">IFERROR(L71*(1-Premissas!$B$5)*(1-Premissas!$B$6)-H71-Premissas!$B$7,"")</f>
        <v>5.86578333333333</v>
      </c>
      <c r="N71" s="21" t="n">
        <f aca="false">IFERROR(M71/L71,"")</f>
        <v>0.454711886304909</v>
      </c>
      <c r="O71" s="18" t="n">
        <f aca="false">IFERROR(L71*(1-Premissas!$B$8)-Premissas!$B$9-H71-Premissas!$B$7,"")</f>
        <v>-1.16466666666667</v>
      </c>
      <c r="P71" s="18" t="n">
        <f aca="false">IFERROR(L71*(1-Premissas!$B$10)-Premissas!$B$11-H71-Premissas!$B$7,"")</f>
        <v>0.0533333333333337</v>
      </c>
      <c r="Q71" s="18" t="n">
        <f aca="false">IFERROR(M71*F71,"")</f>
        <v>140.7788</v>
      </c>
      <c r="R71" s="22" t="n">
        <f aca="false">IFERROR(IF(M71&gt;0,ROUNDUP(Premissas!$B$12/M71,0),"sem lucro"),"")</f>
        <v>171</v>
      </c>
      <c r="S71" s="15" t="s">
        <v>82</v>
      </c>
      <c r="T71" s="23" t="s">
        <v>76</v>
      </c>
      <c r="U71" s="15"/>
      <c r="V71" s="18" t="n">
        <f aca="false">IF(AND(T71="S",ISNUMBER(L71),ISNUMBER(F71)),L71*F71*X71,0)</f>
        <v>0</v>
      </c>
      <c r="W71" s="18" t="n">
        <f aca="false">IF(AND(T71="S",ISNUMBER(Q71)),Q71*X71,0)</f>
        <v>0</v>
      </c>
      <c r="X71" s="23" t="n">
        <v>1</v>
      </c>
      <c r="Y71" s="18" t="n">
        <f aca="false">IF(AND(T71="S",ISNUMBER(G71)),G71*X71,0)</f>
        <v>0</v>
      </c>
    </row>
    <row r="72" customFormat="false" ht="15" hidden="false" customHeight="false" outlineLevel="0" collapsed="false">
      <c r="A72" s="14" t="s">
        <v>280</v>
      </c>
      <c r="B72" s="15" t="s">
        <v>281</v>
      </c>
      <c r="C72" s="14" t="s">
        <v>207</v>
      </c>
      <c r="D72" s="14" t="s">
        <v>117</v>
      </c>
      <c r="E72" s="14" t="n">
        <v>5</v>
      </c>
      <c r="F72" s="16" t="n">
        <v>24</v>
      </c>
      <c r="G72" s="17" t="n">
        <v>148.8</v>
      </c>
      <c r="H72" s="18" t="n">
        <f aca="false">IF(ISNUMBER(G72),IFERROR(G72/F72,""),"")</f>
        <v>6.2</v>
      </c>
      <c r="I72" s="17" t="n">
        <v>10</v>
      </c>
      <c r="J72" s="17" t="n">
        <v>12.9</v>
      </c>
      <c r="K72" s="19" t="s">
        <v>64</v>
      </c>
      <c r="L72" s="20" t="n">
        <v>11.9</v>
      </c>
      <c r="M72" s="18" t="n">
        <f aca="false">IFERROR(L72*(1-Premissas!$B$5)*(1-Premissas!$B$6)-H72-Premissas!$B$7,"")</f>
        <v>3.99195</v>
      </c>
      <c r="N72" s="21" t="n">
        <f aca="false">IFERROR(M72/L72,"")</f>
        <v>0.335457983193277</v>
      </c>
      <c r="O72" s="18" t="n">
        <f aca="false">IFERROR(L72*(1-Premissas!$B$8)-Premissas!$B$9-H72-Premissas!$B$7,"")</f>
        <v>-2.978</v>
      </c>
      <c r="P72" s="18" t="n">
        <f aca="false">IFERROR(L72*(1-Premissas!$B$10)-Premissas!$B$11-H72-Premissas!$B$7,"")</f>
        <v>-1.68</v>
      </c>
      <c r="Q72" s="18" t="n">
        <f aca="false">IFERROR(M72*F72,"")</f>
        <v>95.8068</v>
      </c>
      <c r="R72" s="22" t="n">
        <f aca="false">IFERROR(IF(M72&gt;0,ROUNDUP(Premissas!$B$12/M72,0),"sem lucro"),"")</f>
        <v>251</v>
      </c>
      <c r="S72" s="15" t="s">
        <v>82</v>
      </c>
      <c r="T72" s="23" t="s">
        <v>76</v>
      </c>
      <c r="U72" s="15"/>
      <c r="V72" s="18" t="n">
        <f aca="false">IF(AND(T72="S",ISNUMBER(L72),ISNUMBER(F72)),L72*F72*X72,0)</f>
        <v>0</v>
      </c>
      <c r="W72" s="18" t="n">
        <f aca="false">IF(AND(T72="S",ISNUMBER(Q72)),Q72*X72,0)</f>
        <v>0</v>
      </c>
      <c r="X72" s="23" t="n">
        <v>1</v>
      </c>
      <c r="Y72" s="18" t="n">
        <f aca="false">IF(AND(T72="S",ISNUMBER(G72)),G72*X72,0)</f>
        <v>0</v>
      </c>
    </row>
    <row r="73" customFormat="false" ht="26.85" hidden="false" customHeight="false" outlineLevel="0" collapsed="false">
      <c r="A73" s="14" t="s">
        <v>282</v>
      </c>
      <c r="B73" s="15" t="s">
        <v>283</v>
      </c>
      <c r="C73" s="14" t="s">
        <v>207</v>
      </c>
      <c r="D73" s="14" t="s">
        <v>125</v>
      </c>
      <c r="E73" s="14" t="n">
        <v>5</v>
      </c>
      <c r="F73" s="16" t="n">
        <v>1</v>
      </c>
      <c r="G73" s="17" t="n">
        <v>6.8</v>
      </c>
      <c r="H73" s="18" t="n">
        <f aca="false">IF(ISNUMBER(G73),IFERROR(G73/F73,""),"")</f>
        <v>6.8</v>
      </c>
      <c r="I73" s="17" t="n">
        <v>11.99</v>
      </c>
      <c r="J73" s="17" t="n">
        <v>45.9</v>
      </c>
      <c r="K73" s="19" t="s">
        <v>64</v>
      </c>
      <c r="L73" s="20" t="n">
        <v>19.9</v>
      </c>
      <c r="M73" s="18" t="n">
        <f aca="false">IFERROR(L73*(1-Premissas!$B$5)*(1-Premissas!$B$6)-H73-Premissas!$B$7,"")</f>
        <v>10.91595</v>
      </c>
      <c r="N73" s="21" t="n">
        <f aca="false">IFERROR(M73/L73,"")</f>
        <v>0.548540201005025</v>
      </c>
      <c r="O73" s="18" t="n">
        <f aca="false">IFERROR(L73*(1-Premissas!$B$8)-Premissas!$B$9-H73-Premissas!$B$7,"")</f>
        <v>3.462</v>
      </c>
      <c r="P73" s="18" t="n">
        <f aca="false">IFERROR(L73*(1-Premissas!$B$10)-Premissas!$B$11-H73-Premissas!$B$7,"")</f>
        <v>4.12</v>
      </c>
      <c r="Q73" s="18" t="n">
        <f aca="false">IFERROR(M73*F73,"")</f>
        <v>10.91595</v>
      </c>
      <c r="R73" s="22" t="n">
        <f aca="false">IFERROR(IF(M73&gt;0,ROUNDUP(Premissas!$B$12/M73,0),"sem lucro"),"")</f>
        <v>92</v>
      </c>
      <c r="S73" s="15" t="s">
        <v>65</v>
      </c>
      <c r="T73" s="23" t="s">
        <v>66</v>
      </c>
      <c r="U73" s="15" t="s">
        <v>284</v>
      </c>
      <c r="V73" s="18" t="n">
        <f aca="false">IF(AND(T73="S",ISNUMBER(L73),ISNUMBER(F73)),L73*F73*X73,0)</f>
        <v>238.8</v>
      </c>
      <c r="W73" s="18" t="n">
        <f aca="false">IF(AND(T73="S",ISNUMBER(Q73)),Q73*X73,0)</f>
        <v>130.9914</v>
      </c>
      <c r="X73" s="23" t="n">
        <v>12</v>
      </c>
      <c r="Y73" s="18" t="n">
        <f aca="false">IF(AND(T73="S",ISNUMBER(G73)),G73*X73,0)</f>
        <v>81.6</v>
      </c>
    </row>
    <row r="74" customFormat="false" ht="15" hidden="false" customHeight="false" outlineLevel="0" collapsed="false">
      <c r="A74" s="14" t="s">
        <v>285</v>
      </c>
      <c r="B74" s="15" t="s">
        <v>286</v>
      </c>
      <c r="C74" s="14" t="s">
        <v>207</v>
      </c>
      <c r="D74" s="14" t="s">
        <v>63</v>
      </c>
      <c r="E74" s="14" t="n">
        <v>6</v>
      </c>
      <c r="F74" s="16" t="n">
        <v>24</v>
      </c>
      <c r="G74" s="17" t="n">
        <v>93.99</v>
      </c>
      <c r="H74" s="18" t="n">
        <f aca="false">IF(ISNUMBER(G74),IFERROR(G74/F74,""),"")</f>
        <v>3.91625</v>
      </c>
      <c r="I74" s="17" t="n">
        <v>12.9</v>
      </c>
      <c r="J74" s="17" t="n">
        <v>12.9</v>
      </c>
      <c r="K74" s="19" t="s">
        <v>64</v>
      </c>
      <c r="L74" s="20" t="n">
        <v>12.9</v>
      </c>
      <c r="M74" s="18" t="n">
        <f aca="false">IFERROR(L74*(1-Premissas!$B$5)*(1-Premissas!$B$6)-H74-Premissas!$B$7,"")</f>
        <v>7.2162</v>
      </c>
      <c r="N74" s="21" t="n">
        <f aca="false">IFERROR(M74/L74,"")</f>
        <v>0.559395348837209</v>
      </c>
      <c r="O74" s="18" t="n">
        <f aca="false">IFERROR(L74*(1-Premissas!$B$8)-Premissas!$B$9-H74-Premissas!$B$7,"")</f>
        <v>0.185750000000001</v>
      </c>
      <c r="P74" s="18" t="n">
        <f aca="false">IFERROR(L74*(1-Premissas!$B$10)-Premissas!$B$11-H74-Premissas!$B$7,"")</f>
        <v>1.40375</v>
      </c>
      <c r="Q74" s="18" t="n">
        <f aca="false">IFERROR(M74*F74,"")</f>
        <v>173.1888</v>
      </c>
      <c r="R74" s="22" t="n">
        <f aca="false">IFERROR(IF(M74&gt;0,ROUNDUP(Premissas!$B$12/M74,0),"sem lucro"),"")</f>
        <v>139</v>
      </c>
      <c r="S74" s="15" t="s">
        <v>287</v>
      </c>
      <c r="T74" s="23" t="s">
        <v>66</v>
      </c>
      <c r="U74" s="15" t="s">
        <v>288</v>
      </c>
      <c r="V74" s="18" t="n">
        <f aca="false">IF(AND(T74="S",ISNUMBER(L74),ISNUMBER(F74)),L74*F74*X74,0)</f>
        <v>309.6</v>
      </c>
      <c r="W74" s="18" t="n">
        <f aca="false">IF(AND(T74="S",ISNUMBER(Q74)),Q74*X74,0)</f>
        <v>173.1888</v>
      </c>
      <c r="X74" s="23" t="n">
        <v>1</v>
      </c>
      <c r="Y74" s="18" t="n">
        <f aca="false">IF(AND(T74="S",ISNUMBER(G74)),G74*X74,0)</f>
        <v>93.99</v>
      </c>
    </row>
    <row r="75" customFormat="false" ht="15" hidden="false" customHeight="false" outlineLevel="0" collapsed="false">
      <c r="A75" s="14" t="s">
        <v>289</v>
      </c>
      <c r="B75" s="15" t="s">
        <v>290</v>
      </c>
      <c r="C75" s="14" t="s">
        <v>291</v>
      </c>
      <c r="D75" s="14" t="s">
        <v>125</v>
      </c>
      <c r="E75" s="14" t="n">
        <v>6</v>
      </c>
      <c r="F75" s="16" t="n">
        <v>24</v>
      </c>
      <c r="G75" s="17" t="n">
        <v>142.9</v>
      </c>
      <c r="H75" s="18" t="n">
        <f aca="false">IF(ISNUMBER(G75),IFERROR(G75/F75,""),"")</f>
        <v>5.95416666666667</v>
      </c>
      <c r="I75" s="17" t="n">
        <v>10</v>
      </c>
      <c r="J75" s="17" t="n">
        <v>12.9</v>
      </c>
      <c r="K75" s="19" t="s">
        <v>64</v>
      </c>
      <c r="L75" s="20" t="n">
        <v>11.9</v>
      </c>
      <c r="M75" s="18" t="n">
        <f aca="false">IFERROR(L75*(1-Premissas!$B$5)*(1-Premissas!$B$6)-H75-Premissas!$B$7,"")</f>
        <v>4.23778333333333</v>
      </c>
      <c r="N75" s="21" t="n">
        <f aca="false">IFERROR(M75/L75,"")</f>
        <v>0.356116246498599</v>
      </c>
      <c r="O75" s="18" t="n">
        <f aca="false">IFERROR(L75*(1-Premissas!$B$8)-Premissas!$B$9-H75-Premissas!$B$7,"")</f>
        <v>-2.73216666666667</v>
      </c>
      <c r="P75" s="18" t="n">
        <f aca="false">IFERROR(L75*(1-Premissas!$B$10)-Premissas!$B$11-H75-Premissas!$B$7,"")</f>
        <v>-1.43416666666667</v>
      </c>
      <c r="Q75" s="18" t="n">
        <f aca="false">IFERROR(M75*F75,"")</f>
        <v>101.7068</v>
      </c>
      <c r="R75" s="22" t="n">
        <f aca="false">IFERROR(IF(M75&gt;0,ROUNDUP(Premissas!$B$12/M75,0),"sem lucro"),"")</f>
        <v>236</v>
      </c>
      <c r="S75" s="15" t="s">
        <v>266</v>
      </c>
      <c r="T75" s="23" t="s">
        <v>76</v>
      </c>
      <c r="U75" s="15" t="s">
        <v>267</v>
      </c>
      <c r="V75" s="18" t="n">
        <f aca="false">IF(AND(T75="S",ISNUMBER(L75),ISNUMBER(F75)),L75*F75*X75,0)</f>
        <v>0</v>
      </c>
      <c r="W75" s="18" t="n">
        <f aca="false">IF(AND(T75="S",ISNUMBER(Q75)),Q75*X75,0)</f>
        <v>0</v>
      </c>
      <c r="X75" s="23" t="n">
        <v>1</v>
      </c>
      <c r="Y75" s="18" t="n">
        <f aca="false">IF(AND(T75="S",ISNUMBER(G75)),G75*X75,0)</f>
        <v>0</v>
      </c>
    </row>
    <row r="76" customFormat="false" ht="15" hidden="false" customHeight="false" outlineLevel="0" collapsed="false">
      <c r="A76" s="14" t="s">
        <v>292</v>
      </c>
      <c r="B76" s="15" t="s">
        <v>293</v>
      </c>
      <c r="C76" s="14" t="s">
        <v>291</v>
      </c>
      <c r="D76" s="14" t="s">
        <v>117</v>
      </c>
      <c r="E76" s="14" t="n">
        <v>6</v>
      </c>
      <c r="F76" s="16" t="n">
        <v>24</v>
      </c>
      <c r="G76" s="17" t="n">
        <v>142.9</v>
      </c>
      <c r="H76" s="18" t="n">
        <f aca="false">IF(ISNUMBER(G76),IFERROR(G76/F76,""),"")</f>
        <v>5.95416666666667</v>
      </c>
      <c r="I76" s="17" t="n">
        <v>10</v>
      </c>
      <c r="J76" s="17" t="n">
        <v>12.9</v>
      </c>
      <c r="K76" s="19" t="s">
        <v>64</v>
      </c>
      <c r="L76" s="20" t="n">
        <v>11.9</v>
      </c>
      <c r="M76" s="18" t="n">
        <f aca="false">IFERROR(L76*(1-Premissas!$B$5)*(1-Premissas!$B$6)-H76-Premissas!$B$7,"")</f>
        <v>4.23778333333333</v>
      </c>
      <c r="N76" s="21" t="n">
        <f aca="false">IFERROR(M76/L76,"")</f>
        <v>0.356116246498599</v>
      </c>
      <c r="O76" s="18" t="n">
        <f aca="false">IFERROR(L76*(1-Premissas!$B$8)-Premissas!$B$9-H76-Premissas!$B$7,"")</f>
        <v>-2.73216666666667</v>
      </c>
      <c r="P76" s="18" t="n">
        <f aca="false">IFERROR(L76*(1-Premissas!$B$10)-Premissas!$B$11-H76-Premissas!$B$7,"")</f>
        <v>-1.43416666666667</v>
      </c>
      <c r="Q76" s="18" t="n">
        <f aca="false">IFERROR(M76*F76,"")</f>
        <v>101.7068</v>
      </c>
      <c r="R76" s="22" t="n">
        <f aca="false">IFERROR(IF(M76&gt;0,ROUNDUP(Premissas!$B$12/M76,0),"sem lucro"),"")</f>
        <v>236</v>
      </c>
      <c r="S76" s="15" t="s">
        <v>294</v>
      </c>
      <c r="T76" s="23" t="s">
        <v>76</v>
      </c>
      <c r="U76" s="15"/>
      <c r="V76" s="18" t="n">
        <f aca="false">IF(AND(T76="S",ISNUMBER(L76),ISNUMBER(F76)),L76*F76*X76,0)</f>
        <v>0</v>
      </c>
      <c r="W76" s="18" t="n">
        <f aca="false">IF(AND(T76="S",ISNUMBER(Q76)),Q76*X76,0)</f>
        <v>0</v>
      </c>
      <c r="X76" s="23" t="n">
        <v>1</v>
      </c>
      <c r="Y76" s="18" t="n">
        <f aca="false">IF(AND(T76="S",ISNUMBER(G76)),G76*X76,0)</f>
        <v>0</v>
      </c>
    </row>
    <row r="77" customFormat="false" ht="15" hidden="false" customHeight="false" outlineLevel="0" collapsed="false">
      <c r="A77" s="14" t="s">
        <v>295</v>
      </c>
      <c r="B77" s="15" t="s">
        <v>296</v>
      </c>
      <c r="C77" s="14" t="s">
        <v>291</v>
      </c>
      <c r="D77" s="14" t="s">
        <v>117</v>
      </c>
      <c r="E77" s="14" t="n">
        <v>6</v>
      </c>
      <c r="F77" s="16" t="n">
        <v>24</v>
      </c>
      <c r="G77" s="17" t="n">
        <v>142.9</v>
      </c>
      <c r="H77" s="18" t="n">
        <f aca="false">IF(ISNUMBER(G77),IFERROR(G77/F77,""),"")</f>
        <v>5.95416666666667</v>
      </c>
      <c r="I77" s="17" t="n">
        <v>10</v>
      </c>
      <c r="J77" s="17" t="n">
        <v>12.9</v>
      </c>
      <c r="K77" s="19" t="s">
        <v>64</v>
      </c>
      <c r="L77" s="20" t="n">
        <v>11.9</v>
      </c>
      <c r="M77" s="18" t="n">
        <f aca="false">IFERROR(L77*(1-Premissas!$B$5)*(1-Premissas!$B$6)-H77-Premissas!$B$7,"")</f>
        <v>4.23778333333333</v>
      </c>
      <c r="N77" s="21" t="n">
        <f aca="false">IFERROR(M77/L77,"")</f>
        <v>0.356116246498599</v>
      </c>
      <c r="O77" s="18" t="n">
        <f aca="false">IFERROR(L77*(1-Premissas!$B$8)-Premissas!$B$9-H77-Premissas!$B$7,"")</f>
        <v>-2.73216666666667</v>
      </c>
      <c r="P77" s="18" t="n">
        <f aca="false">IFERROR(L77*(1-Premissas!$B$10)-Premissas!$B$11-H77-Premissas!$B$7,"")</f>
        <v>-1.43416666666667</v>
      </c>
      <c r="Q77" s="18" t="n">
        <f aca="false">IFERROR(M77*F77,"")</f>
        <v>101.7068</v>
      </c>
      <c r="R77" s="22" t="n">
        <f aca="false">IFERROR(IF(M77&gt;0,ROUNDUP(Premissas!$B$12/M77,0),"sem lucro"),"")</f>
        <v>236</v>
      </c>
      <c r="S77" s="15" t="s">
        <v>252</v>
      </c>
      <c r="T77" s="23" t="s">
        <v>76</v>
      </c>
      <c r="U77" s="15"/>
      <c r="V77" s="18" t="n">
        <f aca="false">IF(AND(T77="S",ISNUMBER(L77),ISNUMBER(F77)),L77*F77*X77,0)</f>
        <v>0</v>
      </c>
      <c r="W77" s="18" t="n">
        <f aca="false">IF(AND(T77="S",ISNUMBER(Q77)),Q77*X77,0)</f>
        <v>0</v>
      </c>
      <c r="X77" s="23" t="n">
        <v>1</v>
      </c>
      <c r="Y77" s="18" t="n">
        <f aca="false">IF(AND(T77="S",ISNUMBER(G77)),G77*X77,0)</f>
        <v>0</v>
      </c>
    </row>
    <row r="78" customFormat="false" ht="15" hidden="false" customHeight="false" outlineLevel="0" collapsed="false">
      <c r="A78" s="14" t="s">
        <v>297</v>
      </c>
      <c r="B78" s="15" t="s">
        <v>298</v>
      </c>
      <c r="C78" s="14" t="s">
        <v>291</v>
      </c>
      <c r="D78" s="14" t="s">
        <v>117</v>
      </c>
      <c r="E78" s="14" t="n">
        <v>6</v>
      </c>
      <c r="F78" s="16" t="n">
        <v>24</v>
      </c>
      <c r="G78" s="17" t="n">
        <v>131.3</v>
      </c>
      <c r="H78" s="18" t="n">
        <f aca="false">IF(ISNUMBER(G78),IFERROR(G78/F78,""),"")</f>
        <v>5.47083333333333</v>
      </c>
      <c r="I78" s="17" t="n">
        <v>10</v>
      </c>
      <c r="J78" s="17" t="n">
        <v>10</v>
      </c>
      <c r="K78" s="14" t="s">
        <v>93</v>
      </c>
      <c r="L78" s="20" t="n">
        <v>11.9</v>
      </c>
      <c r="M78" s="18" t="n">
        <f aca="false">IFERROR(L78*(1-Premissas!$B$5)*(1-Premissas!$B$6)-H78-Premissas!$B$7,"")</f>
        <v>4.72111666666667</v>
      </c>
      <c r="N78" s="21" t="n">
        <f aca="false">IFERROR(M78/L78,"")</f>
        <v>0.396732492997199</v>
      </c>
      <c r="O78" s="18" t="n">
        <f aca="false">IFERROR(L78*(1-Premissas!$B$8)-Premissas!$B$9-H78-Premissas!$B$7,"")</f>
        <v>-2.24883333333333</v>
      </c>
      <c r="P78" s="18" t="n">
        <f aca="false">IFERROR(L78*(1-Premissas!$B$10)-Premissas!$B$11-H78-Premissas!$B$7,"")</f>
        <v>-0.950833333333333</v>
      </c>
      <c r="Q78" s="18" t="n">
        <f aca="false">IFERROR(M78*F78,"")</f>
        <v>113.3068</v>
      </c>
      <c r="R78" s="22" t="n">
        <f aca="false">IFERROR(IF(M78&gt;0,ROUNDUP(Premissas!$B$12/M78,0),"sem lucro"),"")</f>
        <v>212</v>
      </c>
      <c r="S78" s="15" t="s">
        <v>82</v>
      </c>
      <c r="T78" s="23" t="s">
        <v>76</v>
      </c>
      <c r="U78" s="15" t="s">
        <v>299</v>
      </c>
      <c r="V78" s="18" t="n">
        <f aca="false">IF(AND(T78="S",ISNUMBER(L78),ISNUMBER(F78)),L78*F78*X78,0)</f>
        <v>0</v>
      </c>
      <c r="W78" s="18" t="n">
        <f aca="false">IF(AND(T78="S",ISNUMBER(Q78)),Q78*X78,0)</f>
        <v>0</v>
      </c>
      <c r="X78" s="23" t="n">
        <v>1</v>
      </c>
      <c r="Y78" s="18" t="n">
        <f aca="false">IF(AND(T78="S",ISNUMBER(G78)),G78*X78,0)</f>
        <v>0</v>
      </c>
    </row>
    <row r="79" customFormat="false" ht="15" hidden="false" customHeight="false" outlineLevel="0" collapsed="false">
      <c r="A79" s="14" t="s">
        <v>300</v>
      </c>
      <c r="B79" s="15" t="s">
        <v>301</v>
      </c>
      <c r="C79" s="14" t="s">
        <v>291</v>
      </c>
      <c r="D79" s="14" t="s">
        <v>125</v>
      </c>
      <c r="E79" s="14" t="n">
        <v>6</v>
      </c>
      <c r="F79" s="16" t="n">
        <v>24</v>
      </c>
      <c r="G79" s="17" t="n">
        <v>113.8</v>
      </c>
      <c r="H79" s="18" t="n">
        <f aca="false">IF(ISNUMBER(G79),IFERROR(G79/F79,""),"")</f>
        <v>4.74166666666667</v>
      </c>
      <c r="I79" s="17" t="n">
        <v>10</v>
      </c>
      <c r="J79" s="17" t="n">
        <v>12.9</v>
      </c>
      <c r="K79" s="19" t="s">
        <v>64</v>
      </c>
      <c r="L79" s="20" t="n">
        <v>11.9</v>
      </c>
      <c r="M79" s="18" t="n">
        <f aca="false">IFERROR(L79*(1-Premissas!$B$5)*(1-Premissas!$B$6)-H79-Premissas!$B$7,"")</f>
        <v>5.45028333333333</v>
      </c>
      <c r="N79" s="21" t="n">
        <f aca="false">IFERROR(M79/L79,"")</f>
        <v>0.458007002801121</v>
      </c>
      <c r="O79" s="18" t="n">
        <f aca="false">IFERROR(L79*(1-Premissas!$B$8)-Premissas!$B$9-H79-Premissas!$B$7,"")</f>
        <v>-1.51966666666667</v>
      </c>
      <c r="P79" s="18" t="n">
        <f aca="false">IFERROR(L79*(1-Premissas!$B$10)-Premissas!$B$11-H79-Premissas!$B$7,"")</f>
        <v>-0.221666666666665</v>
      </c>
      <c r="Q79" s="18" t="n">
        <f aca="false">IFERROR(M79*F79,"")</f>
        <v>130.8068</v>
      </c>
      <c r="R79" s="22" t="n">
        <f aca="false">IFERROR(IF(M79&gt;0,ROUNDUP(Premissas!$B$12/M79,0),"sem lucro"),"")</f>
        <v>184</v>
      </c>
      <c r="S79" s="15" t="s">
        <v>82</v>
      </c>
      <c r="T79" s="23" t="s">
        <v>76</v>
      </c>
      <c r="U79" s="15"/>
      <c r="V79" s="18" t="n">
        <f aca="false">IF(AND(T79="S",ISNUMBER(L79),ISNUMBER(F79)),L79*F79*X79,0)</f>
        <v>0</v>
      </c>
      <c r="W79" s="18" t="n">
        <f aca="false">IF(AND(T79="S",ISNUMBER(Q79)),Q79*X79,0)</f>
        <v>0</v>
      </c>
      <c r="X79" s="23" t="n">
        <v>1</v>
      </c>
      <c r="Y79" s="18" t="n">
        <f aca="false">IF(AND(T79="S",ISNUMBER(G79)),G79*X79,0)</f>
        <v>0</v>
      </c>
    </row>
    <row r="80" customFormat="false" ht="15" hidden="false" customHeight="false" outlineLevel="0" collapsed="false">
      <c r="A80" s="14" t="s">
        <v>302</v>
      </c>
      <c r="B80" s="15" t="s">
        <v>303</v>
      </c>
      <c r="C80" s="14" t="s">
        <v>291</v>
      </c>
      <c r="D80" s="14" t="s">
        <v>125</v>
      </c>
      <c r="E80" s="14" t="n">
        <v>6</v>
      </c>
      <c r="F80" s="16" t="n">
        <v>24</v>
      </c>
      <c r="G80" s="17" t="n">
        <v>113.6</v>
      </c>
      <c r="H80" s="18" t="n">
        <f aca="false">IF(ISNUMBER(G80),IFERROR(G80/F80,""),"")</f>
        <v>4.73333333333333</v>
      </c>
      <c r="I80" s="17" t="n">
        <v>10</v>
      </c>
      <c r="J80" s="17" t="n">
        <v>12.9</v>
      </c>
      <c r="K80" s="19" t="s">
        <v>64</v>
      </c>
      <c r="L80" s="20" t="n">
        <v>12.9</v>
      </c>
      <c r="M80" s="18" t="n">
        <f aca="false">IFERROR(L80*(1-Premissas!$B$5)*(1-Premissas!$B$6)-H80-Premissas!$B$7,"")</f>
        <v>6.39911666666667</v>
      </c>
      <c r="N80" s="21" t="n">
        <f aca="false">IFERROR(M80/L80,"")</f>
        <v>0.496055555555555</v>
      </c>
      <c r="O80" s="18" t="n">
        <f aca="false">IFERROR(L80*(1-Premissas!$B$8)-Premissas!$B$9-H80-Premissas!$B$7,"")</f>
        <v>-0.631333333333333</v>
      </c>
      <c r="P80" s="18" t="n">
        <f aca="false">IFERROR(L80*(1-Premissas!$B$10)-Premissas!$B$11-H80-Premissas!$B$7,"")</f>
        <v>0.586666666666667</v>
      </c>
      <c r="Q80" s="18" t="n">
        <f aca="false">IFERROR(M80*F80,"")</f>
        <v>153.5788</v>
      </c>
      <c r="R80" s="22" t="n">
        <f aca="false">IFERROR(IF(M80&gt;0,ROUNDUP(Premissas!$B$12/M80,0),"sem lucro"),"")</f>
        <v>157</v>
      </c>
      <c r="S80" s="15" t="s">
        <v>82</v>
      </c>
      <c r="T80" s="23" t="s">
        <v>76</v>
      </c>
      <c r="U80" s="15" t="s">
        <v>304</v>
      </c>
      <c r="V80" s="18" t="n">
        <f aca="false">IF(AND(T80="S",ISNUMBER(L80),ISNUMBER(F80)),L80*F80*X80,0)</f>
        <v>0</v>
      </c>
      <c r="W80" s="18" t="n">
        <f aca="false">IF(AND(T80="S",ISNUMBER(Q80)),Q80*X80,0)</f>
        <v>0</v>
      </c>
      <c r="X80" s="23" t="n">
        <v>1</v>
      </c>
      <c r="Y80" s="18" t="n">
        <f aca="false">IF(AND(T80="S",ISNUMBER(G80)),G80*X80,0)</f>
        <v>0</v>
      </c>
    </row>
  </sheetData>
  <autoFilter ref="A1:Y80"/>
  <conditionalFormatting sqref="M2:M80">
    <cfRule type="cellIs" priority="2" operator="lessThan" aboveAverage="0" equalAverage="0" bottom="0" percent="0" rank="0" text="" dxfId="53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80">
    <cfRule type="cellIs" priority="4" operator="lessThan" aboveAverage="0" equalAverage="0" bottom="0" percent="0" rank="0" text="" dxfId="53">
      <formula>0</formula>
    </cfRule>
  </conditionalFormatting>
  <conditionalFormatting sqref="P2:P80">
    <cfRule type="cellIs" priority="5" operator="lessThan" aboveAverage="0" equalAverage="0" bottom="0" percent="0" rank="0" text="" dxfId="53">
      <formula>0</formula>
    </cfRule>
  </conditionalFormatting>
  <dataValidations count="1">
    <dataValidation allowBlank="true" errorStyle="stop" operator="between" showDropDown="false" showErrorMessage="false" showInputMessage="false" sqref="T2:T80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305</v>
      </c>
      <c r="B1" s="13" t="s">
        <v>306</v>
      </c>
      <c r="C1" s="13" t="s">
        <v>307</v>
      </c>
      <c r="D1" s="13" t="s">
        <v>308</v>
      </c>
      <c r="E1" s="13" t="s">
        <v>309</v>
      </c>
      <c r="F1" s="13" t="s">
        <v>310</v>
      </c>
      <c r="G1" s="13" t="s">
        <v>311</v>
      </c>
      <c r="H1" s="13" t="s">
        <v>312</v>
      </c>
      <c r="I1" s="13" t="s">
        <v>313</v>
      </c>
      <c r="J1" s="13" t="s">
        <v>314</v>
      </c>
      <c r="K1" s="13" t="s">
        <v>315</v>
      </c>
      <c r="L1" s="13" t="s">
        <v>316</v>
      </c>
    </row>
    <row r="2" customFormat="false" ht="15" hidden="false" customHeight="false" outlineLevel="0" collapsed="false">
      <c r="A2" s="24" t="s">
        <v>317</v>
      </c>
      <c r="B2" s="25" t="s">
        <v>131</v>
      </c>
      <c r="C2" s="25" t="s">
        <v>137</v>
      </c>
      <c r="D2" s="25" t="s">
        <v>135</v>
      </c>
      <c r="E2" s="26"/>
      <c r="F2" s="26"/>
      <c r="G2" s="27" t="n">
        <f aca="false">IFERROR(INDEX(Produtos!$H$2:$H$80,MATCH(B2,Produtos!$A$2:$A$80,0)),0)+IFERROR(INDEX(Produtos!$H$2:$H$80,MATCH(C2,Produtos!$A$2:$A$80,0)),0)+IFERROR(INDEX(Produtos!$H$2:$H$80,MATCH(D2,Produtos!$A$2:$A$80,0)),0)+IFERROR(INDEX(Produtos!$H$2:$H$80,MATCH(E2,Produtos!$A$2:$A$80,0)),0)+IFERROR(INDEX(Produtos!$H$2:$H$80,MATCH(F2,Produtos!$A$2:$A$80,0)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17.762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318</v>
      </c>
      <c r="B3" s="25" t="s">
        <v>68</v>
      </c>
      <c r="C3" s="25" t="s">
        <v>83</v>
      </c>
      <c r="D3" s="25" t="s">
        <v>85</v>
      </c>
      <c r="E3" s="25" t="s">
        <v>172</v>
      </c>
      <c r="F3" s="26"/>
      <c r="G3" s="27" t="n">
        <f aca="false">IFERROR(INDEX(Produtos!$H$2:$H$80,MATCH(B3,Produtos!$A$2:$A$80,0)),0)+IFERROR(INDEX(Produtos!$H$2:$H$80,MATCH(C3,Produtos!$A$2:$A$80,0)),0)+IFERROR(INDEX(Produtos!$H$2:$H$80,MATCH(D3,Produtos!$A$2:$A$80,0)),0)+IFERROR(INDEX(Produtos!$H$2:$H$80,MATCH(E3,Produtos!$A$2:$A$80,0)),0)+IFERROR(INDEX(Produtos!$H$2:$H$80,MATCH(F3,Produtos!$A$2:$A$80,0)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13.0661666666667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319</v>
      </c>
      <c r="B4" s="25" t="s">
        <v>90</v>
      </c>
      <c r="C4" s="25" t="s">
        <v>94</v>
      </c>
      <c r="D4" s="25" t="s">
        <v>98</v>
      </c>
      <c r="E4" s="26"/>
      <c r="F4" s="26"/>
      <c r="G4" s="27" t="n">
        <f aca="false">IFERROR(INDEX(Produtos!$H$2:$H$80,MATCH(B4,Produtos!$A$2:$A$80,0)),0)+IFERROR(INDEX(Produtos!$H$2:$H$80,MATCH(C4,Produtos!$A$2:$A$80,0)),0)+IFERROR(INDEX(Produtos!$H$2:$H$80,MATCH(D4,Produtos!$A$2:$A$80,0)),0)+IFERROR(INDEX(Produtos!$H$2:$H$80,MATCH(E4,Produtos!$A$2:$A$80,0)),0)+IFERROR(INDEX(Produtos!$H$2:$H$80,MATCH(F4,Produtos!$A$2:$A$80,0)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10.762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320</v>
      </c>
      <c r="B5" s="25" t="s">
        <v>127</v>
      </c>
      <c r="C5" s="25" t="s">
        <v>127</v>
      </c>
      <c r="D5" s="25" t="s">
        <v>127</v>
      </c>
      <c r="E5" s="25" t="s">
        <v>123</v>
      </c>
      <c r="F5" s="25" t="s">
        <v>154</v>
      </c>
      <c r="G5" s="27" t="n">
        <f aca="false">IFERROR(INDEX(Produtos!$H$2:$H$80,MATCH(B5,Produtos!$A$2:$A$80,0)),0)+IFERROR(INDEX(Produtos!$H$2:$H$80,MATCH(C5,Produtos!$A$2:$A$80,0)),0)+IFERROR(INDEX(Produtos!$H$2:$H$80,MATCH(D5,Produtos!$A$2:$A$80,0)),0)+IFERROR(INDEX(Produtos!$H$2:$H$80,MATCH(E5,Produtos!$A$2:$A$80,0)),0)+IFERROR(INDEX(Produtos!$H$2:$H$80,MATCH(F5,Produtos!$A$2:$A$80,0)),0)</f>
        <v>22.64</v>
      </c>
      <c r="H5" s="28" t="n">
        <v>44.9</v>
      </c>
      <c r="I5" s="27" t="n">
        <f aca="false">H5*(1-Premissas!$B$5)*(1-Premissas!$B$6)-G5-Premissas!$B$7</f>
        <v>18.58845</v>
      </c>
      <c r="J5" s="27" t="n">
        <f aca="false">H5*(1-Premissas!$B$8)-Premissas!$B$9-G5-Premissas!$B$7</f>
        <v>9.622</v>
      </c>
      <c r="K5" s="27" t="n">
        <f aca="false">H5*(1-Premissas!$B$10)-Premissas!$B$11-G5-Premissas!$B$7</f>
        <v>8.28</v>
      </c>
      <c r="L5" s="29" t="n">
        <f aca="false">IF(I5&gt;0,ROUNDUP(Premissas!$B$12/I5,0),"sem lucro")</f>
        <v>54</v>
      </c>
    </row>
    <row r="6" customFormat="false" ht="15" hidden="false" customHeight="false" outlineLevel="0" collapsed="false">
      <c r="A6" s="24" t="s">
        <v>321</v>
      </c>
      <c r="B6" s="25" t="s">
        <v>176</v>
      </c>
      <c r="C6" s="25" t="s">
        <v>180</v>
      </c>
      <c r="D6" s="25" t="s">
        <v>154</v>
      </c>
      <c r="E6" s="26"/>
      <c r="F6" s="26"/>
      <c r="G6" s="27" t="n">
        <f aca="false">IFERROR(INDEX(Produtos!$H$2:$H$80,MATCH(B6,Produtos!$A$2:$A$80,0)),0)+IFERROR(INDEX(Produtos!$H$2:$H$80,MATCH(C6,Produtos!$A$2:$A$80,0)),0)+IFERROR(INDEX(Produtos!$H$2:$H$80,MATCH(D6,Produtos!$A$2:$A$80,0)),0)+IFERROR(INDEX(Produtos!$H$2:$H$80,MATCH(E6,Produtos!$A$2:$A$80,0)),0)+IFERROR(INDEX(Produtos!$H$2:$H$80,MATCH(F6,Produtos!$A$2:$A$80,0)),0)</f>
        <v>16.65</v>
      </c>
      <c r="H6" s="28" t="n">
        <v>34.9</v>
      </c>
      <c r="I6" s="27" t="n">
        <f aca="false">H6*(1-Premissas!$B$5)*(1-Premissas!$B$6)-G6-Premissas!$B$7</f>
        <v>15.17345</v>
      </c>
      <c r="J6" s="27" t="n">
        <f aca="false">H6*(1-Premissas!$B$8)-Premissas!$B$9-G6-Premissas!$B$7</f>
        <v>6.812</v>
      </c>
      <c r="K6" s="27" t="n">
        <f aca="false">H6*(1-Premissas!$B$10)-Premissas!$B$11-G6-Premissas!$B$7</f>
        <v>6.27</v>
      </c>
      <c r="L6" s="29" t="n">
        <f aca="false">IF(I6&gt;0,ROUNDUP(Premissas!$B$12/I6,0),"sem lucro")</f>
        <v>66</v>
      </c>
    </row>
    <row r="7" customFormat="false" ht="15" hidden="false" customHeight="false" outlineLevel="0" collapsed="false">
      <c r="A7" s="24" t="s">
        <v>322</v>
      </c>
      <c r="B7" s="25" t="s">
        <v>146</v>
      </c>
      <c r="C7" s="25" t="s">
        <v>149</v>
      </c>
      <c r="D7" s="25" t="s">
        <v>143</v>
      </c>
      <c r="E7" s="26"/>
      <c r="F7" s="26"/>
      <c r="G7" s="27" t="n">
        <f aca="false">IFERROR(INDEX(Produtos!$H$2:$H$80,MATCH(B7,Produtos!$A$2:$A$80,0)),0)+IFERROR(INDEX(Produtos!$H$2:$H$80,MATCH(C7,Produtos!$A$2:$A$80,0)),0)+IFERROR(INDEX(Produtos!$H$2:$H$80,MATCH(D7,Produtos!$A$2:$A$80,0)),0)+IFERROR(INDEX(Produtos!$H$2:$H$80,MATCH(E7,Produtos!$A$2:$A$80,0)),0)+IFERROR(INDEX(Produtos!$H$2:$H$80,MATCH(F7,Produtos!$A$2:$A$80,0)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6.44533333333333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8" customFormat="false" ht="15" hidden="false" customHeight="false" outlineLevel="0" collapsed="false">
      <c r="A8" s="24" t="s">
        <v>323</v>
      </c>
      <c r="B8" s="25" t="s">
        <v>221</v>
      </c>
      <c r="C8" s="25" t="s">
        <v>229</v>
      </c>
      <c r="D8" s="26"/>
      <c r="E8" s="26"/>
      <c r="F8" s="26"/>
      <c r="G8" s="27" t="n">
        <f aca="false">IFERROR(INDEX(Produtos!$H$2:$H$80,MATCH(B8,Produtos!$A$2:$A$80,0)),0)+IFERROR(INDEX(Produtos!$H$2:$H$80,MATCH(C8,Produtos!$A$2:$A$80,0)),0)+IFERROR(INDEX(Produtos!$H$2:$H$80,MATCH(D8,Produtos!$A$2:$A$80,0)),0)+IFERROR(INDEX(Produtos!$H$2:$H$80,MATCH(E8,Produtos!$A$2:$A$80,0)),0)+IFERROR(INDEX(Produtos!$H$2:$H$80,MATCH(F8,Produtos!$A$2:$A$80,0)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18.862</v>
      </c>
      <c r="K8" s="27" t="n">
        <f aca="false">H8*(1-Premissas!$B$10)-Premissas!$B$11-G8-Premissas!$B$7</f>
        <v>17.52</v>
      </c>
      <c r="L8" s="29" t="n">
        <f aca="false">IF(I8&gt;0,ROUNDUP(Premissas!$B$12/I8,0),"sem lucro")</f>
        <v>36</v>
      </c>
    </row>
    <row r="9" customFormat="false" ht="15" hidden="false" customHeight="false" outlineLevel="0" collapsed="false">
      <c r="A9" s="24" t="s">
        <v>324</v>
      </c>
      <c r="B9" s="25" t="s">
        <v>226</v>
      </c>
      <c r="C9" s="25" t="s">
        <v>226</v>
      </c>
      <c r="D9" s="26"/>
      <c r="E9" s="26"/>
      <c r="F9" s="26"/>
      <c r="G9" s="27" t="n">
        <f aca="false">IFERROR(INDEX(Produtos!$H$2:$H$80,MATCH(B9,Produtos!$A$2:$A$80,0)),0)+IFERROR(INDEX(Produtos!$H$2:$H$80,MATCH(C9,Produtos!$A$2:$A$80,0)),0)+IFERROR(INDEX(Produtos!$H$2:$H$80,MATCH(D9,Produtos!$A$2:$A$80,0)),0)+IFERROR(INDEX(Produtos!$H$2:$H$80,MATCH(E9,Produtos!$A$2:$A$80,0)),0)+IFERROR(INDEX(Produtos!$H$2:$H$80,MATCH(F9,Produtos!$A$2:$A$80,0)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18.662</v>
      </c>
      <c r="K9" s="27" t="n">
        <f aca="false">H9*(1-Premissas!$B$10)-Premissas!$B$11-G9-Premissas!$B$7</f>
        <v>17.32</v>
      </c>
      <c r="L9" s="29" t="n">
        <f aca="false">IF(I9&gt;0,ROUNDUP(Premissas!$B$12/I9,0),"sem lucro")</f>
        <v>37</v>
      </c>
    </row>
    <row r="10" customFormat="false" ht="15" hidden="false" customHeight="false" outlineLevel="0" collapsed="false">
      <c r="A10" s="24" t="s">
        <v>325</v>
      </c>
      <c r="B10" s="25" t="s">
        <v>282</v>
      </c>
      <c r="C10" s="25" t="s">
        <v>275</v>
      </c>
      <c r="D10" s="25" t="s">
        <v>268</v>
      </c>
      <c r="E10" s="25" t="s">
        <v>241</v>
      </c>
      <c r="F10" s="26"/>
      <c r="G10" s="27" t="n">
        <f aca="false">IFERROR(INDEX(Produtos!$H$2:$H$80,MATCH(B10,Produtos!$A$2:$A$80,0)),0)+IFERROR(INDEX(Produtos!$H$2:$H$80,MATCH(C10,Produtos!$A$2:$A$80,0)),0)+IFERROR(INDEX(Produtos!$H$2:$H$80,MATCH(D10,Produtos!$A$2:$A$80,0)),0)+IFERROR(INDEX(Produtos!$H$2:$H$80,MATCH(E10,Produtos!$A$2:$A$80,0)),0)+IFERROR(INDEX(Produtos!$H$2:$H$80,MATCH(F10,Produtos!$A$2:$A$80,0)),0)</f>
        <v>22.533125</v>
      </c>
      <c r="H10" s="28" t="n">
        <v>59.9</v>
      </c>
      <c r="I10" s="27" t="n">
        <f aca="false">H10*(1-Premissas!$B$5)*(1-Premissas!$B$6)-G10-Premissas!$B$7</f>
        <v>32.802825</v>
      </c>
      <c r="J10" s="27" t="n">
        <f aca="false">H10*(1-Premissas!$B$8)-Premissas!$B$9-G10-Premissas!$B$7</f>
        <v>22.928875</v>
      </c>
      <c r="K10" s="27" t="n">
        <f aca="false">H10*(1-Premissas!$B$10)-Premissas!$B$11-G10-Premissas!$B$7</f>
        <v>20.386875</v>
      </c>
      <c r="L10" s="29" t="n">
        <f aca="false">IF(I10&gt;0,ROUNDUP(Premissas!$B$12/I10,0),"sem lucro")</f>
        <v>31</v>
      </c>
    </row>
    <row r="12" customFormat="false" ht="15" hidden="false" customHeight="false" outlineLevel="0" collapsed="false">
      <c r="A12" s="2" t="s">
        <v>326</v>
      </c>
    </row>
  </sheetData>
  <conditionalFormatting sqref="I2:K10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2026-09-24T18:17:37Z</dcterms:created>
  <dc:creator>openpyxl</dc:creator>
  <dc:description/>
  <dc:language>en-US</dc:language>
  <cp:lastModifiedBy/>
  <dcterms:modified xsi:type="dcterms:W3CDTF">2026-09-24T18:17:37Z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