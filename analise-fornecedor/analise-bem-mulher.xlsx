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Produtos" sheetId="3" state="visible" r:id="rId5"/>
    <sheet name="Kits" sheetId="4" state="visible" r:id="rId6"/>
  </sheets>
  <definedNames>
    <definedName function="false" hidden="true" localSheetId="2" name="_xlnm._FilterDatabase" vbProcedure="false">Produtos!$A$1:$W$45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Preço mostrado no site do fornecedor (Bem Mulher, página Loja de R$10), lido dos prints enviados. Quando a qtd na caixa é maior que 1, é o preço da caixa inteira.</t>
        </r>
      </text>
    </comment>
    <comment ref="I1" authorId="0">
      <text>
        <r>
          <rPr>
            <sz val="10"/>
            <rFont val="Arial"/>
            <family val="2"/>
          </rPr>
          <t xml:space="preserve">Preços encontrados em lojas online por busca na internet (set/2026). "Estimado" = produto exato não encontrado; valor baseado em produtos parecidos.</t>
        </r>
      </text>
    </comment>
    <comment ref="M1" authorId="0">
      <text>
        <r>
          <rPr>
            <sz val="10"/>
            <rFont val="Arial"/>
            <family val="2"/>
          </rPr>
          <t xml:space="preserve">= Preço de venda − desconto Pix − taxa de pagamento − custo − embalagem (ver aba Premissas).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Sérum Facial Ácido Hialurônico Reflection 30ml</t>
        </r>
      </text>
    </comment>
    <comment ref="B3" authorId="0">
      <text>
        <r>
          <rPr>
            <sz val="10"/>
            <rFont val="Arial"/>
            <family val="2"/>
          </rPr>
          <t xml:space="preserve">Blush Matte Velvet Cheeks</t>
        </r>
      </text>
    </comment>
    <comment ref="B4" authorId="0">
      <text>
        <r>
          <rPr>
            <sz val="10"/>
            <rFont val="Arial"/>
            <family val="2"/>
          </rPr>
          <t xml:space="preserve">Água Micelar Pantenol e Ác. Hialurônico 200ml</t>
        </r>
      </text>
    </comment>
    <comment ref="B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B6" authorId="0">
      <text>
        <r>
          <rPr>
            <sz val="10"/>
            <rFont val="Arial"/>
            <family val="2"/>
          </rPr>
          <t xml:space="preserve">Tint Brow Preenche Sobrancelha</t>
        </r>
      </text>
    </comment>
    <comment ref="B7" authorId="0">
      <text>
        <r>
          <rPr>
            <sz val="10"/>
            <rFont val="Arial"/>
            <family val="2"/>
          </rPr>
          <t xml:space="preserve">Lip Oil Fruit Juice (LG007)</t>
        </r>
      </text>
    </comment>
    <comment ref="C2" authorId="0">
      <text>
        <r>
          <rPr>
            <sz val="10"/>
            <rFont val="Arial"/>
            <family val="2"/>
          </rPr>
          <t xml:space="preserve">Sérum Facial Vitamina C Reflection 30ml</t>
        </r>
      </text>
    </comment>
    <comment ref="C3" authorId="0">
      <text>
        <r>
          <rPr>
            <sz val="10"/>
            <rFont val="Arial"/>
            <family val="2"/>
          </rPr>
          <t xml:space="preserve">Contorno Velvet (DP2471)</t>
        </r>
      </text>
    </comment>
    <comment ref="C4" authorId="0">
      <text>
        <r>
          <rPr>
            <sz val="10"/>
            <rFont val="Arial"/>
            <family val="2"/>
          </rPr>
          <t xml:space="preserve">Tônico Facial Ácido Glicólico 200ml</t>
        </r>
      </text>
    </comment>
    <comment ref="C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C6" authorId="0">
      <text>
        <r>
          <rPr>
            <sz val="10"/>
            <rFont val="Arial"/>
            <family val="2"/>
          </rPr>
          <t xml:space="preserve">Gel Fixador de Sobrancelhas com Pente</t>
        </r>
      </text>
    </comment>
    <comment ref="C7" authorId="0">
      <text>
        <r>
          <rPr>
            <sz val="10"/>
            <rFont val="Arial"/>
            <family val="2"/>
          </rPr>
          <t xml:space="preserve">Lip Gloss Alta Pigmentação</t>
        </r>
      </text>
    </comment>
    <comment ref="D2" authorId="0">
      <text>
        <r>
          <rPr>
            <sz val="10"/>
            <rFont val="Arial"/>
            <family val="2"/>
          </rPr>
          <t xml:space="preserve">Sérum Facial Clareador Reflection 30ml</t>
        </r>
      </text>
    </comment>
    <comment ref="D3" authorId="0">
      <text>
        <r>
          <rPr>
            <sz val="10"/>
            <rFont val="Arial"/>
            <family val="2"/>
          </rPr>
          <t xml:space="preserve">Iluminador Velvet Glow</t>
        </r>
      </text>
    </comment>
    <comment ref="D4" authorId="0">
      <text>
        <r>
          <rPr>
            <sz val="10"/>
            <rFont val="Arial"/>
            <family val="2"/>
          </rPr>
          <t xml:space="preserve">Loção Adstringente Chá Verde 200ml</t>
        </r>
      </text>
    </comment>
    <comment ref="D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D6" authorId="0">
      <text>
        <r>
          <rPr>
            <sz val="10"/>
            <rFont val="Arial"/>
            <family val="2"/>
          </rPr>
          <t xml:space="preserve">Máscara para Sobrancelhas Tatoo Brow</t>
        </r>
      </text>
    </comment>
    <comment ref="D7" authorId="0">
      <text>
        <r>
          <rPr>
            <sz val="10"/>
            <rFont val="Arial"/>
            <family val="2"/>
          </rPr>
          <t xml:space="preserve">Batom Brilho Natural</t>
        </r>
      </text>
    </comment>
    <comment ref="E3" authorId="0">
      <text>
        <r>
          <rPr>
            <sz val="10"/>
            <rFont val="Arial"/>
            <family val="2"/>
          </rPr>
          <t xml:space="preserve">Pó de Tapioca Lilás Selva Neon</t>
        </r>
      </text>
    </comment>
    <comment ref="E5" authorId="0">
      <text>
        <r>
          <rPr>
            <sz val="10"/>
            <rFont val="Arial"/>
            <family val="2"/>
          </rPr>
          <t xml:space="preserve">Máscara para Cílios Natural Curling</t>
        </r>
      </text>
    </comment>
    <comment ref="F5" authorId="0">
      <text>
        <r>
          <rPr>
            <sz val="10"/>
            <rFont val="Arial"/>
            <family val="2"/>
          </rPr>
          <t xml:space="preserve">Máscara para Sobrancelhas Tatoo Brow</t>
        </r>
      </text>
    </comment>
  </commentList>
</comments>
</file>

<file path=xl/sharedStrings.xml><?xml version="1.0" encoding="utf-8"?>
<sst xmlns="http://schemas.openxmlformats.org/spreadsheetml/2006/main" count="422" uniqueCount="216">
  <si>
    <t xml:space="preserve">Análise do fornecedor Bem Mulher (Loja de R$10)</t>
  </si>
  <si>
    <t xml:space="preserve">Atualizada a cada leva de prints. Produtos marcados com "S" em "Vou comprar?" (aba Produtos) entram nas contas abaixo.</t>
  </si>
  <si>
    <t xml:space="preserve">Indicador</t>
  </si>
  <si>
    <t xml:space="preserve">Valor</t>
  </si>
  <si>
    <t xml:space="preserve">Produtos analisados</t>
  </si>
  <si>
    <t xml:space="preserve">Produtos marcados para comprar</t>
  </si>
  <si>
    <t xml:space="preserve">Investimento (1 caixa/unidade de cada marcado)</t>
  </si>
  <si>
    <t xml:space="preserve">Unidades compradas</t>
  </si>
  <si>
    <t xml:space="preserve">Faturamento se vender tudo no seu site</t>
  </si>
  <si>
    <t xml:space="preserve">Lucro se vender tudo no seu site</t>
  </si>
  <si>
    <t xml:space="preserve">Retorno sobre o investimento</t>
  </si>
  <si>
    <t xml:space="preserve">Meta de lucro por mês</t>
  </si>
  <si>
    <t xml:space="preserve">Como usar</t>
  </si>
  <si>
    <t xml:space="preserve">• Texto azul com fundo amarelo = você pode alterar (preço de venda, "Vou comprar?", premissas, preço dos kits).</t>
  </si>
  <si>
    <t xml:space="preserve">• Preço internet "Estimado" (em dourado) = produto exato não achado; confira no Mercado Livre antes de definir o preço.</t>
  </si>
  <si>
    <t xml:space="preserve">• Lucro em vermelho = você perde dinheiro nesse canal com esse preço. No Mercado Livre e na Shopee, prefira vender em kit.</t>
  </si>
  <si>
    <t xml:space="preserve">• Use o filtro do cabeçalho na aba Produtos para ordenar por lucro, categoria ou lote.</t>
  </si>
  <si>
    <t xml:space="preserve">• Taxas do Mercado Livre e da Shopee são aproximadas: confira as atuais e ajuste na aba Premissas.</t>
  </si>
  <si>
    <t xml:space="preserve">Premissas usadas nas contas</t>
  </si>
  <si>
    <t xml:space="preserve">Células em amarelo com texto azul podem ser alteradas. O resto da planilha se atualiza sozinho.</t>
  </si>
  <si>
    <t xml:space="preserve">Premissa</t>
  </si>
  <si>
    <t xml:space="preserve">Observação</t>
  </si>
  <si>
    <t xml:space="preserve">Desconto Pix no seu site</t>
  </si>
  <si>
    <t xml:space="preserve">Configuração atual da loja Élan Beauté</t>
  </si>
  <si>
    <t xml:space="preserve">Taxa do meio de pagamento (seu site)</t>
  </si>
  <si>
    <t xml:space="preserve">Estimativa para Pix; cartão costuma ser 3–5%</t>
  </si>
  <si>
    <t xml:space="preserve">Embalagem por pedido/unidade (R$)</t>
  </si>
  <si>
    <t xml:space="preserve">Estimativa: saquinho + etiqueta</t>
  </si>
  <si>
    <t xml:space="preserve">Mercado Livre: comissão</t>
  </si>
  <si>
    <t xml:space="preserve">Aproximado (anúncio clássico, beleza). Confira a taxa atual</t>
  </si>
  <si>
    <t xml:space="preserve">Mercado Livre: taxa fixa por venda abaixo de R$ 79 (R$)</t>
  </si>
  <si>
    <t xml:space="preserve">Aproximado. Confira a taxa atual</t>
  </si>
  <si>
    <t xml:space="preserve">Shopee: comissão + frete grátis</t>
  </si>
  <si>
    <t xml:space="preserve">Shopee: taxa fixa por item (R$)</t>
  </si>
  <si>
    <t xml:space="preserve">Meta de lucro por mês (R$)</t>
  </si>
  <si>
    <t xml:space="preserve">Valor de exemplo: coloque a sua meta</t>
  </si>
  <si>
    <t xml:space="preserve">ID</t>
  </si>
  <si>
    <t xml:space="preserve">Produto</t>
  </si>
  <si>
    <t xml:space="preserve">Marca</t>
  </si>
  <si>
    <t xml:space="preserve">Categoria</t>
  </si>
  <si>
    <t xml:space="preserve">Lote (print)</t>
  </si>
  <si>
    <t xml:space="preserve">Qtd na caixa</t>
  </si>
  <si>
    <t xml:space="preserve">Preço no fornecedor</t>
  </si>
  <si>
    <t xml:space="preserve">Custo por unidade</t>
  </si>
  <si>
    <t xml:space="preserve">Internet: menor preço</t>
  </si>
  <si>
    <t xml:space="preserve">Internet: maior preço</t>
  </si>
  <si>
    <t xml:space="preserve">Preço internet é</t>
  </si>
  <si>
    <t xml:space="preserve">Seu preço de venda</t>
  </si>
  <si>
    <t xml:space="preserve">Lucro/un. seu site</t>
  </si>
  <si>
    <t xml:space="preserve">Margem seu site</t>
  </si>
  <si>
    <t xml:space="preserve">Lucro/un. Mercado Livre</t>
  </si>
  <si>
    <t xml:space="preserve">Lucro/un. Shopee</t>
  </si>
  <si>
    <t xml:space="preserve">Lucro da caixa (seu site)</t>
  </si>
  <si>
    <t xml:space="preserve">Unidades/mês p/ meta</t>
  </si>
  <si>
    <t xml:space="preserve">Recomendação</t>
  </si>
  <si>
    <t xml:space="preserve">Vou comprar? (S/N)</t>
  </si>
  <si>
    <t xml:space="preserve">Faturamento da caixa (se comprar)</t>
  </si>
  <si>
    <t xml:space="preserve">Lucro da caixa (se comprar)</t>
  </si>
  <si>
    <t xml:space="preserve">P01</t>
  </si>
  <si>
    <t xml:space="preserve">Pó Compacto Choco Fun</t>
  </si>
  <si>
    <t xml:space="preserve">Fenzza</t>
  </si>
  <si>
    <t xml:space="preserve">Maquiagem – Rosto</t>
  </si>
  <si>
    <t xml:space="preserve">Estimado</t>
  </si>
  <si>
    <t xml:space="preserve">Comprar</t>
  </si>
  <si>
    <t xml:space="preserve">S</t>
  </si>
  <si>
    <t xml:space="preserve">Referência: Pó Solto Choco Fun R$ 14,99</t>
  </si>
  <si>
    <t xml:space="preserve">P02</t>
  </si>
  <si>
    <t xml:space="preserve">Blush Matte Velvet Cheeks</t>
  </si>
  <si>
    <t xml:space="preserve">Dapop</t>
  </si>
  <si>
    <t xml:space="preserve">Comprar (kit Pele Perfeita)</t>
  </si>
  <si>
    <t xml:space="preserve">Linha nova; referência: outros blushes Dapop</t>
  </si>
  <si>
    <t xml:space="preserve">P03</t>
  </si>
  <si>
    <t xml:space="preserve">Blush Glow Velvet Cheeks</t>
  </si>
  <si>
    <t xml:space="preserve">Confirmar preço</t>
  </si>
  <si>
    <t xml:space="preserve">N</t>
  </si>
  <si>
    <t xml:space="preserve">Preço não apareceu no print</t>
  </si>
  <si>
    <t xml:space="preserve">P04</t>
  </si>
  <si>
    <t xml:space="preserve">Pó Translúcido Solto Soft Focus</t>
  </si>
  <si>
    <t xml:space="preserve">P05</t>
  </si>
  <si>
    <t xml:space="preserve">Bronzer Velvet (DP2470)</t>
  </si>
  <si>
    <t xml:space="preserve">Opcional</t>
  </si>
  <si>
    <t xml:space="preserve">P06</t>
  </si>
  <si>
    <t xml:space="preserve">Contorno Velvet (DP2471)</t>
  </si>
  <si>
    <t xml:space="preserve">P07</t>
  </si>
  <si>
    <t xml:space="preserve">Iluminador Velvet Glow</t>
  </si>
  <si>
    <t xml:space="preserve">P08</t>
  </si>
  <si>
    <t xml:space="preserve">Pó Facial Matificante Skin Filter</t>
  </si>
  <si>
    <t xml:space="preserve">Site diz "C/24 Unid" por R$ 5,70: confirmar se é caixa ou unidade</t>
  </si>
  <si>
    <t xml:space="preserve">P09</t>
  </si>
  <si>
    <t xml:space="preserve">Água Micelar Pantenol e Ác. Hialurônico 200ml</t>
  </si>
  <si>
    <t xml:space="preserve">Skincare</t>
  </si>
  <si>
    <t xml:space="preserve">Confirmado</t>
  </si>
  <si>
    <t xml:space="preserve">P10</t>
  </si>
  <si>
    <t xml:space="preserve">Tônico Facial Ácido Glicólico 200ml</t>
  </si>
  <si>
    <t xml:space="preserve">P11</t>
  </si>
  <si>
    <t xml:space="preserve">Demaquilante Aloe Vera e Alantoína 200ml</t>
  </si>
  <si>
    <t xml:space="preserve">P12</t>
  </si>
  <si>
    <t xml:space="preserve">Loção Adstringente Chá Verde 200ml</t>
  </si>
  <si>
    <t xml:space="preserve">Comprar (kit Rotina Skincare)</t>
  </si>
  <si>
    <t xml:space="preserve">P13</t>
  </si>
  <si>
    <t xml:space="preserve">Água Micelar Vitamina C e Ác. Hialurônico 200ml</t>
  </si>
  <si>
    <t xml:space="preserve">P14</t>
  </si>
  <si>
    <t xml:space="preserve">Água Micelar Rosa Mosqueta e Niacinamida 200ml</t>
  </si>
  <si>
    <t xml:space="preserve">P15</t>
  </si>
  <si>
    <t xml:space="preserve">Kit Esponjas Makeup Blender Puff c/4</t>
  </si>
  <si>
    <t xml:space="preserve">Mahav</t>
  </si>
  <si>
    <t xml:space="preserve">Acessórios</t>
  </si>
  <si>
    <t xml:space="preserve">P16</t>
  </si>
  <si>
    <t xml:space="preserve">Esponja Gota Makeup Blender Choco/Cherry</t>
  </si>
  <si>
    <t xml:space="preserve">Só em kit</t>
  </si>
  <si>
    <t xml:space="preserve">P17</t>
  </si>
  <si>
    <t xml:space="preserve">Esponja Chanfrada Makeup Blender Cut</t>
  </si>
  <si>
    <t xml:space="preserve">P18</t>
  </si>
  <si>
    <t xml:space="preserve">Lips e Cheeks Cream</t>
  </si>
  <si>
    <t xml:space="preserve">Miss Romantic</t>
  </si>
  <si>
    <t xml:space="preserve">Maquiagem – Lábios</t>
  </si>
  <si>
    <t xml:space="preserve">P19</t>
  </si>
  <si>
    <t xml:space="preserve">Lip Gloss Sweet</t>
  </si>
  <si>
    <t xml:space="preserve">Limitar (muitos gloss)</t>
  </si>
  <si>
    <t xml:space="preserve">P20</t>
  </si>
  <si>
    <t xml:space="preserve">Lip Liner Sweet Linha dos Lábios</t>
  </si>
  <si>
    <t xml:space="preserve">P21</t>
  </si>
  <si>
    <t xml:space="preserve">Máscara para Cílios Natural Curling</t>
  </si>
  <si>
    <t xml:space="preserve">Maquiagem – Olhos</t>
  </si>
  <si>
    <t xml:space="preserve">Comprar (kit Olhar Poderoso)</t>
  </si>
  <si>
    <t xml:space="preserve">P22</t>
  </si>
  <si>
    <t xml:space="preserve">Cílios Postiços 8D (F007/F011/F012/F019/F022)</t>
  </si>
  <si>
    <t xml:space="preserve">Sabrina Sato</t>
  </si>
  <si>
    <t xml:space="preserve">5 modelos, mesmo preço. Pedir nota fiscal e confirmar que são originais</t>
  </si>
  <si>
    <t xml:space="preserve">P23</t>
  </si>
  <si>
    <t xml:space="preserve">Sérum Facial Ácido Hialurônico Reflection 30ml</t>
  </si>
  <si>
    <t xml:space="preserve">Safira</t>
  </si>
  <si>
    <t xml:space="preserve">Comprar (kit Pele de Vidro)</t>
  </si>
  <si>
    <t xml:space="preserve">P24</t>
  </si>
  <si>
    <t xml:space="preserve">Sérum Facial Clareador Reflection 30ml</t>
  </si>
  <si>
    <t xml:space="preserve">P25</t>
  </si>
  <si>
    <t xml:space="preserve">Sérum Facial Vitamina C Reflection 30ml</t>
  </si>
  <si>
    <t xml:space="preserve">P26</t>
  </si>
  <si>
    <t xml:space="preserve">Creme Hidratante Ureia 3% 200g</t>
  </si>
  <si>
    <t xml:space="preserve">Corpo</t>
  </si>
  <si>
    <t xml:space="preserve">Pesado: frete mais caro. Melhor no seu site</t>
  </si>
  <si>
    <t xml:space="preserve">P27</t>
  </si>
  <si>
    <t xml:space="preserve">Batom Brilho Natural</t>
  </si>
  <si>
    <t xml:space="preserve">Melana</t>
  </si>
  <si>
    <t xml:space="preserve">P28</t>
  </si>
  <si>
    <t xml:space="preserve">Lip Oil Fruit Juice (LG007)</t>
  </si>
  <si>
    <t xml:space="preserve">Hudamoji</t>
  </si>
  <si>
    <t xml:space="preserve">P29</t>
  </si>
  <si>
    <t xml:space="preserve">Lip Gloss Alta Pigmentação</t>
  </si>
  <si>
    <t xml:space="preserve">P30</t>
  </si>
  <si>
    <t xml:space="preserve">Iluminador Compacto</t>
  </si>
  <si>
    <t xml:space="preserve">JummyJu</t>
  </si>
  <si>
    <t xml:space="preserve">P31</t>
  </si>
  <si>
    <t xml:space="preserve">Máscara para Sobrancelhas Tatoo Brow</t>
  </si>
  <si>
    <t xml:space="preserve">Femme Paris</t>
  </si>
  <si>
    <t xml:space="preserve">Maquiagem – Sobrancelhas</t>
  </si>
  <si>
    <t xml:space="preserve">Comprar (kits)</t>
  </si>
  <si>
    <t xml:space="preserve">P32</t>
  </si>
  <si>
    <t xml:space="preserve">Contorno Stick</t>
  </si>
  <si>
    <t xml:space="preserve">P33</t>
  </si>
  <si>
    <t xml:space="preserve">Lip Gloss Peel-Off</t>
  </si>
  <si>
    <t xml:space="preserve">Comprar (1 das 2 linhas de gloss)</t>
  </si>
  <si>
    <t xml:space="preserve">Tendência</t>
  </si>
  <si>
    <t xml:space="preserve">P34</t>
  </si>
  <si>
    <t xml:space="preserve">Conjunto de Pentes e Acessórios c/9 peças</t>
  </si>
  <si>
    <t xml:space="preserve">—</t>
  </si>
  <si>
    <t xml:space="preserve">Cabelos</t>
  </si>
  <si>
    <t xml:space="preserve">P35</t>
  </si>
  <si>
    <t xml:space="preserve">Mini Esponja para Maquiagem c/4</t>
  </si>
  <si>
    <t xml:space="preserve">Rub… (confirmar marca)</t>
  </si>
  <si>
    <t xml:space="preserve">P36</t>
  </si>
  <si>
    <t xml:space="preserve">Pó de Tapioca Lilás Selva Neon</t>
  </si>
  <si>
    <t xml:space="preserve">Miss Rôse</t>
  </si>
  <si>
    <t xml:space="preserve">Melhor custo da lista</t>
  </si>
  <si>
    <t xml:space="preserve">P37</t>
  </si>
  <si>
    <t xml:space="preserve">Tint Brow Preenche Sobrancelha</t>
  </si>
  <si>
    <t xml:space="preserve">Wike Make</t>
  </si>
  <si>
    <t xml:space="preserve">Comprar (kit Sobrancelha)</t>
  </si>
  <si>
    <t xml:space="preserve">P38</t>
  </si>
  <si>
    <t xml:space="preserve">Gel Fixador de Sobrancelhas com Pente</t>
  </si>
  <si>
    <t xml:space="preserve">P39</t>
  </si>
  <si>
    <t xml:space="preserve">Lip Gloss Candy</t>
  </si>
  <si>
    <t xml:space="preserve">Evitar (margem baixa)</t>
  </si>
  <si>
    <t xml:space="preserve">Vendido por R$ 7,50–10 em outras lojas</t>
  </si>
  <si>
    <t xml:space="preserve">P40</t>
  </si>
  <si>
    <t xml:space="preserve">Lip Gloss Ice Cream</t>
  </si>
  <si>
    <t xml:space="preserve">P41</t>
  </si>
  <si>
    <t xml:space="preserve">Lip Gloss Pompom</t>
  </si>
  <si>
    <t xml:space="preserve">P42</t>
  </si>
  <si>
    <t xml:space="preserve">Lip Gloss com Chaveiro</t>
  </si>
  <si>
    <t xml:space="preserve">Bom para presente</t>
  </si>
  <si>
    <t xml:space="preserve">P43</t>
  </si>
  <si>
    <t xml:space="preserve">Lip Gloss (ME005)</t>
  </si>
  <si>
    <t xml:space="preserve">Belle Angel</t>
  </si>
  <si>
    <t xml:space="preserve">P44</t>
  </si>
  <si>
    <t xml:space="preserve">Hidratante Corporal Body Cream Libertad 150ml</t>
  </si>
  <si>
    <t xml:space="preserve">Cap Life</t>
  </si>
  <si>
    <t xml:space="preserve">Kit</t>
  </si>
  <si>
    <t xml:space="preserve">Item 1</t>
  </si>
  <si>
    <t xml:space="preserve">Item 2</t>
  </si>
  <si>
    <t xml:space="preserve">Item 3</t>
  </si>
  <si>
    <t xml:space="preserve">Item 4</t>
  </si>
  <si>
    <t xml:space="preserve">Item 5</t>
  </si>
  <si>
    <t xml:space="preserve">Custo do kit</t>
  </si>
  <si>
    <t xml:space="preserve">Preço de venda</t>
  </si>
  <si>
    <t xml:space="preserve">Lucro seu site</t>
  </si>
  <si>
    <t xml:space="preserve">Lucro Mercado Livre</t>
  </si>
  <si>
    <t xml:space="preserve">Lucro Shopee</t>
  </si>
  <si>
    <t xml:space="preserve">Kits/mês p/ meta (seu site)</t>
  </si>
  <si>
    <t xml:space="preserve">Pele de Vidro</t>
  </si>
  <si>
    <t xml:space="preserve">Pele Perfeita</t>
  </si>
  <si>
    <t xml:space="preserve">Rotina Skincare</t>
  </si>
  <si>
    <t xml:space="preserve">Olhar Poderoso</t>
  </si>
  <si>
    <t xml:space="preserve">Sobrancelha Perfeita</t>
  </si>
  <si>
    <t xml:space="preserve">Lábios Suculentos</t>
  </si>
  <si>
    <t xml:space="preserve">Os itens são IDs da aba Produtos (passe o mouse para ver o nome). Repetir um ID = mais de uma unidade no kit.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</si>
</sst>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[RED]\-#,##0;\-"/>
    <numFmt numFmtId="166" formatCode="&quot;R$ &quot;#,##0.00;[RED]&quot;-R$ &quot;#,##0.00;\-"/>
    <numFmt numFmtId="167" formatCode="0.0%;[RED]\-0.0%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666666"/>
      <name val="Arial"/>
      <family val="0"/>
      <charset val="1"/>
    </font>
    <font>
      <sz val="11"/>
      <color rgb="FFB8860B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11014"/>
        <bgColor rgb="FF000000"/>
      </patternFill>
    </fill>
    <fill>
      <patternFill patternType="solid">
        <fgColor rgb="FFFFE3EC"/>
        <bgColor rgb="FFE6DDE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7">
    <dxf>
      <fill>
        <patternFill patternType="solid">
          <fgColor rgb="FF11101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8860B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7ECA92"/>
          <bgColor rgb="FF000000"/>
        </patternFill>
      </fill>
    </dxf>
    <dxf>
      <fill>
        <patternFill patternType="solid">
          <fgColor rgb="FF95D3A5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AADCB7"/>
          <bgColor rgb="FF000000"/>
        </patternFill>
      </fill>
    </dxf>
    <dxf>
      <fill>
        <patternFill patternType="solid">
          <fgColor rgb="FFB1DFBD"/>
          <bgColor rgb="FF000000"/>
        </patternFill>
      </fill>
    </dxf>
    <dxf>
      <fill>
        <patternFill patternType="solid">
          <fgColor rgb="FFBAE3C5"/>
          <bgColor rgb="FF000000"/>
        </patternFill>
      </fill>
    </dxf>
    <dxf>
      <fill>
        <patternFill patternType="solid">
          <fgColor rgb="FFC3E6CC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C8E8D0"/>
          <bgColor rgb="FF000000"/>
        </patternFill>
      </fill>
    </dxf>
    <dxf>
      <fill>
        <patternFill patternType="solid">
          <fgColor rgb="FFCAE9D2"/>
          <bgColor rgb="FF000000"/>
        </patternFill>
      </fill>
    </dxf>
    <dxf>
      <fill>
        <patternFill patternType="solid">
          <fgColor rgb="FFCBEAD3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DAF0E0"/>
          <bgColor rgb="FF000000"/>
        </patternFill>
      </fill>
    </dxf>
    <dxf>
      <fill>
        <patternFill patternType="solid">
          <fgColor rgb="FFDCF1E1"/>
          <bgColor rgb="FF000000"/>
        </patternFill>
      </fill>
    </dxf>
    <dxf>
      <fill>
        <patternFill patternType="solid">
          <fgColor rgb="FFE2F3E6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08080"/>
      <rgbColor rgb="FF9999FF"/>
      <rgbColor rgb="FF993366"/>
      <rgbColor rgb="FFFFE3EC"/>
      <rgbColor rgb="FFCCFFFF"/>
      <rgbColor rgb="FF660066"/>
      <rgbColor rgb="FFFF8080"/>
      <rgbColor rgb="FF0066CC"/>
      <rgbColor rgb="FFE6DD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01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5" t="n">
        <f aca="false">COUNTA(Produtos!A2:A45)</f>
        <v>44</v>
      </c>
    </row>
    <row r="6" customFormat="false" ht="15" hidden="false" customHeight="false" outlineLevel="0" collapsed="false">
      <c r="A6" s="4" t="s">
        <v>5</v>
      </c>
      <c r="B6" s="5" t="n">
        <f aca="false">COUNTIF(Produtos!T2:T45,"S")</f>
        <v>23</v>
      </c>
    </row>
    <row r="7" customFormat="false" ht="15" hidden="false" customHeight="false" outlineLevel="0" collapsed="false">
      <c r="A7" s="6" t="s">
        <v>6</v>
      </c>
      <c r="B7" s="7" t="n">
        <f aca="false">SUMIF(Produtos!T2:T45,"S",Produtos!G2:G45)</f>
        <v>1772.5</v>
      </c>
    </row>
    <row r="8" customFormat="false" ht="15" hidden="false" customHeight="false" outlineLevel="0" collapsed="false">
      <c r="A8" s="4" t="s">
        <v>7</v>
      </c>
      <c r="B8" s="5" t="n">
        <f aca="false">SUMIF(Produtos!T2:T45,"S",Produtos!F2:F45)</f>
        <v>299</v>
      </c>
    </row>
    <row r="9" customFormat="false" ht="15" hidden="false" customHeight="false" outlineLevel="0" collapsed="false">
      <c r="A9" s="4" t="s">
        <v>8</v>
      </c>
      <c r="B9" s="7" t="n">
        <f aca="false">SUM(Produtos!V2:V45)</f>
        <v>4083.1</v>
      </c>
    </row>
    <row r="10" customFormat="false" ht="15" hidden="false" customHeight="false" outlineLevel="0" collapsed="false">
      <c r="A10" s="6" t="s">
        <v>9</v>
      </c>
      <c r="B10" s="7" t="n">
        <f aca="false">SUM(Produtos!W2:W45)</f>
        <v>1768.65555</v>
      </c>
    </row>
    <row r="11" customFormat="false" ht="15" hidden="false" customHeight="false" outlineLevel="0" collapsed="false">
      <c r="A11" s="4" t="s">
        <v>10</v>
      </c>
      <c r="B11" s="8" t="n">
        <f aca="false">IFERROR(B10/B7,"")</f>
        <v>0.997831057827927</v>
      </c>
    </row>
    <row r="12" customFormat="false" ht="15" hidden="false" customHeight="false" outlineLevel="0" collapsed="false">
      <c r="A12" s="4" t="s">
        <v>11</v>
      </c>
      <c r="B12" s="7" t="n">
        <f aca="false">Premissas!$B$12</f>
        <v>1000</v>
      </c>
    </row>
    <row r="15" customFormat="false" ht="15" hidden="false" customHeight="false" outlineLevel="0" collapsed="false">
      <c r="A15" s="9" t="s">
        <v>12</v>
      </c>
    </row>
    <row r="16" customFormat="false" ht="15" hidden="false" customHeight="false" outlineLevel="0" collapsed="false">
      <c r="A16" s="4" t="s">
        <v>13</v>
      </c>
    </row>
    <row r="17" customFormat="false" ht="15" hidden="false" customHeight="false" outlineLevel="0" collapsed="false">
      <c r="A17" s="4" t="s">
        <v>14</v>
      </c>
    </row>
    <row r="18" customFormat="false" ht="15" hidden="false" customHeight="false" outlineLevel="0" collapsed="false">
      <c r="A18" s="4" t="s">
        <v>15</v>
      </c>
    </row>
    <row r="19" customFormat="false" ht="15" hidden="false" customHeight="false" outlineLevel="0" collapsed="false">
      <c r="A19" s="4" t="s">
        <v>16</v>
      </c>
    </row>
    <row r="20" customFormat="false" ht="15" hidden="false" customHeight="false" outlineLevel="0" collapsed="false">
      <c r="A20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3" t="s">
        <v>20</v>
      </c>
      <c r="B4" s="3" t="s">
        <v>3</v>
      </c>
      <c r="C4" s="3" t="s">
        <v>21</v>
      </c>
    </row>
    <row r="5" customFormat="false" ht="15" hidden="false" customHeight="false" outlineLevel="0" collapsed="false">
      <c r="A5" s="4" t="s">
        <v>22</v>
      </c>
      <c r="B5" s="10" t="n">
        <v>0.05</v>
      </c>
      <c r="C5" s="11" t="s">
        <v>23</v>
      </c>
    </row>
    <row r="6" customFormat="false" ht="15" hidden="false" customHeight="false" outlineLevel="0" collapsed="false">
      <c r="A6" s="4" t="s">
        <v>24</v>
      </c>
      <c r="B6" s="10" t="n">
        <v>0.01</v>
      </c>
      <c r="C6" s="11" t="s">
        <v>25</v>
      </c>
    </row>
    <row r="7" customFormat="false" ht="15" hidden="false" customHeight="false" outlineLevel="0" collapsed="false">
      <c r="A7" s="4" t="s">
        <v>26</v>
      </c>
      <c r="B7" s="12" t="n">
        <v>1</v>
      </c>
      <c r="C7" s="11" t="s">
        <v>27</v>
      </c>
    </row>
    <row r="8" customFormat="false" ht="15" hidden="false" customHeight="false" outlineLevel="0" collapsed="false">
      <c r="A8" s="4" t="s">
        <v>28</v>
      </c>
      <c r="B8" s="10" t="n">
        <v>0.12</v>
      </c>
      <c r="C8" s="11" t="s">
        <v>29</v>
      </c>
    </row>
    <row r="9" customFormat="false" ht="15" hidden="false" customHeight="false" outlineLevel="0" collapsed="false">
      <c r="A9" s="4" t="s">
        <v>30</v>
      </c>
      <c r="B9" s="12" t="n">
        <v>6.25</v>
      </c>
      <c r="C9" s="11" t="s">
        <v>31</v>
      </c>
    </row>
    <row r="10" customFormat="false" ht="15" hidden="false" customHeight="false" outlineLevel="0" collapsed="false">
      <c r="A10" s="4" t="s">
        <v>32</v>
      </c>
      <c r="B10" s="10" t="n">
        <v>0.2</v>
      </c>
      <c r="C10" s="11" t="s">
        <v>31</v>
      </c>
    </row>
    <row r="11" customFormat="false" ht="15" hidden="false" customHeight="false" outlineLevel="0" collapsed="false">
      <c r="A11" s="4" t="s">
        <v>33</v>
      </c>
      <c r="B11" s="12" t="n">
        <v>4</v>
      </c>
      <c r="C11" s="11" t="s">
        <v>31</v>
      </c>
    </row>
    <row r="12" customFormat="false" ht="15" hidden="false" customHeight="false" outlineLevel="0" collapsed="false">
      <c r="A12" s="4" t="s">
        <v>34</v>
      </c>
      <c r="B12" s="12" t="n">
        <v>1000</v>
      </c>
      <c r="C12" s="11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13" min="8" style="0" width="12"/>
    <col collapsed="false" customWidth="true" hidden="false" outlineLevel="0" max="14" min="14" style="0" width="1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18" min="18" style="0" width="12"/>
    <col collapsed="false" customWidth="true" hidden="false" outlineLevel="0" max="19" min="19" style="0" width="26"/>
    <col collapsed="false" customWidth="true" hidden="false" outlineLevel="0" max="20" min="20" style="0" width="11"/>
    <col collapsed="false" customWidth="true" hidden="false" outlineLevel="0" max="21" min="21" style="0" width="44"/>
    <col collapsed="false" customWidth="true" hidden="false" outlineLevel="0" max="23" min="22" style="0" width="14"/>
  </cols>
  <sheetData>
    <row r="1" customFormat="false" ht="42" hidden="false" customHeight="true" outlineLevel="0" collapsed="false">
      <c r="A1" s="13" t="s">
        <v>36</v>
      </c>
      <c r="B1" s="13" t="s">
        <v>37</v>
      </c>
      <c r="C1" s="13" t="s">
        <v>38</v>
      </c>
      <c r="D1" s="13" t="s">
        <v>39</v>
      </c>
      <c r="E1" s="13" t="s">
        <v>40</v>
      </c>
      <c r="F1" s="13" t="s">
        <v>41</v>
      </c>
      <c r="G1" s="13" t="s">
        <v>42</v>
      </c>
      <c r="H1" s="13" t="s">
        <v>43</v>
      </c>
      <c r="I1" s="13" t="s">
        <v>44</v>
      </c>
      <c r="J1" s="13" t="s">
        <v>45</v>
      </c>
      <c r="K1" s="13" t="s">
        <v>46</v>
      </c>
      <c r="L1" s="13" t="s">
        <v>47</v>
      </c>
      <c r="M1" s="13" t="s">
        <v>48</v>
      </c>
      <c r="N1" s="13" t="s">
        <v>49</v>
      </c>
      <c r="O1" s="13" t="s">
        <v>50</v>
      </c>
      <c r="P1" s="13" t="s">
        <v>51</v>
      </c>
      <c r="Q1" s="13" t="s">
        <v>52</v>
      </c>
      <c r="R1" s="13" t="s">
        <v>53</v>
      </c>
      <c r="S1" s="13" t="s">
        <v>54</v>
      </c>
      <c r="T1" s="13" t="s">
        <v>55</v>
      </c>
      <c r="U1" s="13" t="s">
        <v>21</v>
      </c>
      <c r="V1" s="13" t="s">
        <v>56</v>
      </c>
      <c r="W1" s="13" t="s">
        <v>57</v>
      </c>
    </row>
    <row r="2" customFormat="false" ht="15" hidden="false" customHeight="false" outlineLevel="0" collapsed="false">
      <c r="A2" s="14" t="s">
        <v>58</v>
      </c>
      <c r="B2" s="15" t="s">
        <v>59</v>
      </c>
      <c r="C2" s="14" t="s">
        <v>60</v>
      </c>
      <c r="D2" s="14" t="s">
        <v>61</v>
      </c>
      <c r="E2" s="14" t="n">
        <v>1</v>
      </c>
      <c r="F2" s="16" t="n">
        <v>24</v>
      </c>
      <c r="G2" s="17" t="n">
        <v>156.5</v>
      </c>
      <c r="H2" s="18" t="n">
        <f aca="false">IF(ISNUMBER(G2),IFERROR(G2/F2,""),"")</f>
        <v>6.52083333333333</v>
      </c>
      <c r="I2" s="17" t="n">
        <v>14.99</v>
      </c>
      <c r="J2" s="17" t="n">
        <v>14.99</v>
      </c>
      <c r="K2" s="19" t="s">
        <v>62</v>
      </c>
      <c r="L2" s="20" t="n">
        <v>14.9</v>
      </c>
      <c r="M2" s="18" t="n">
        <f aca="false">IFERROR(L2*(1-Premissas!$B$5)*(1-Premissas!$B$6)-H2-Premissas!$B$7,"")</f>
        <v>6.49261666666667</v>
      </c>
      <c r="N2" s="21" t="n">
        <f aca="false">IFERROR(M2/L2,"")</f>
        <v>0.435746085011186</v>
      </c>
      <c r="O2" s="18" t="n">
        <f aca="false">IFERROR(L2*(1-Premissas!$B$8)-Premissas!$B$9-H2-Premissas!$B$7,"")</f>
        <v>-0.658833333333333</v>
      </c>
      <c r="P2" s="18" t="n">
        <f aca="false">IFERROR(L2*(1-Premissas!$B$10)-Premissas!$B$11-H2-Premissas!$B$7,"")</f>
        <v>0.399166666666669</v>
      </c>
      <c r="Q2" s="18" t="n">
        <f aca="false">IFERROR(M2*F2,"")</f>
        <v>155.8228</v>
      </c>
      <c r="R2" s="22" t="n">
        <f aca="false">IFERROR(IF(M2&gt;0,ROUNDUP(Premissas!$B$12/M2,0),"sem lucro"),"")</f>
        <v>155</v>
      </c>
      <c r="S2" s="15" t="s">
        <v>63</v>
      </c>
      <c r="T2" s="23" t="s">
        <v>64</v>
      </c>
      <c r="U2" s="15" t="s">
        <v>65</v>
      </c>
      <c r="V2" s="18" t="n">
        <f aca="false">IF(AND(T2="S",ISNUMBER(L2),ISNUMBER(F2)),L2*F2,0)</f>
        <v>357.6</v>
      </c>
      <c r="W2" s="18" t="n">
        <f aca="false">IF(AND(T2="S",ISNUMBER(Q2)),Q2,0)</f>
        <v>155.8228</v>
      </c>
    </row>
    <row r="3" customFormat="false" ht="15" hidden="false" customHeight="false" outlineLevel="0" collapsed="false">
      <c r="A3" s="14" t="s">
        <v>66</v>
      </c>
      <c r="B3" s="15" t="s">
        <v>67</v>
      </c>
      <c r="C3" s="14" t="s">
        <v>68</v>
      </c>
      <c r="D3" s="14" t="s">
        <v>61</v>
      </c>
      <c r="E3" s="14" t="n">
        <v>1</v>
      </c>
      <c r="F3" s="16" t="n">
        <v>24</v>
      </c>
      <c r="G3" s="17" t="n">
        <v>161.7</v>
      </c>
      <c r="H3" s="18" t="n">
        <f aca="false">IF(ISNUMBER(G3),IFERROR(G3/F3,""),"")</f>
        <v>6.7375</v>
      </c>
      <c r="I3" s="17" t="n">
        <v>12</v>
      </c>
      <c r="J3" s="17" t="n">
        <v>15.9</v>
      </c>
      <c r="K3" s="19" t="s">
        <v>62</v>
      </c>
      <c r="L3" s="20" t="n">
        <v>14.9</v>
      </c>
      <c r="M3" s="18" t="n">
        <f aca="false">IFERROR(L3*(1-Premissas!$B$5)*(1-Premissas!$B$6)-H3-Premissas!$B$7,"")</f>
        <v>6.27595</v>
      </c>
      <c r="N3" s="21" t="n">
        <f aca="false">IFERROR(M3/L3,"")</f>
        <v>0.421204697986577</v>
      </c>
      <c r="O3" s="18" t="n">
        <f aca="false">IFERROR(L3*(1-Premissas!$B$8)-Premissas!$B$9-H3-Premissas!$B$7,"")</f>
        <v>-0.8755</v>
      </c>
      <c r="P3" s="18" t="n">
        <f aca="false">IFERROR(L3*(1-Premissas!$B$10)-Premissas!$B$11-H3-Premissas!$B$7,"")</f>
        <v>0.182500000000002</v>
      </c>
      <c r="Q3" s="18" t="n">
        <f aca="false">IFERROR(M3*F3,"")</f>
        <v>150.6228</v>
      </c>
      <c r="R3" s="22" t="n">
        <f aca="false">IFERROR(IF(M3&gt;0,ROUNDUP(Premissas!$B$12/M3,0),"sem lucro"),"")</f>
        <v>160</v>
      </c>
      <c r="S3" s="15" t="s">
        <v>69</v>
      </c>
      <c r="T3" s="23" t="s">
        <v>64</v>
      </c>
      <c r="U3" s="15" t="s">
        <v>70</v>
      </c>
      <c r="V3" s="18" t="n">
        <f aca="false">IF(AND(T3="S",ISNUMBER(L3),ISNUMBER(F3)),L3*F3,0)</f>
        <v>357.6</v>
      </c>
      <c r="W3" s="18" t="n">
        <f aca="false">IF(AND(T3="S",ISNUMBER(Q3)),Q3,0)</f>
        <v>150.6228</v>
      </c>
    </row>
    <row r="4" customFormat="false" ht="15" hidden="false" customHeight="false" outlineLevel="0" collapsed="false">
      <c r="A4" s="14" t="s">
        <v>71</v>
      </c>
      <c r="B4" s="15" t="s">
        <v>72</v>
      </c>
      <c r="C4" s="14" t="s">
        <v>68</v>
      </c>
      <c r="D4" s="14" t="s">
        <v>61</v>
      </c>
      <c r="E4" s="14" t="n">
        <v>1</v>
      </c>
      <c r="F4" s="16" t="n">
        <v>24</v>
      </c>
      <c r="G4" s="17"/>
      <c r="H4" s="18" t="str">
        <f aca="false">IF(ISNUMBER(G4),IFERROR(G4/F4,""),"")</f>
        <v/>
      </c>
      <c r="I4" s="17" t="n">
        <v>12</v>
      </c>
      <c r="J4" s="17" t="n">
        <v>15.9</v>
      </c>
      <c r="K4" s="19" t="s">
        <v>62</v>
      </c>
      <c r="L4" s="20" t="n">
        <v>14.9</v>
      </c>
      <c r="M4" s="18" t="str">
        <f aca="false">IFERROR(L4*(1-Premissas!$B$5)*(1-Premissas!$B$6)-H4-Premissas!$B$7,"")</f>
        <v/>
      </c>
      <c r="N4" s="21" t="str">
        <f aca="false">IFERROR(M4/L4,"")</f>
        <v/>
      </c>
      <c r="O4" s="18" t="str">
        <f aca="false">IFERROR(L4*(1-Premissas!$B$8)-Premissas!$B$9-H4-Premissas!$B$7,"")</f>
        <v/>
      </c>
      <c r="P4" s="18" t="str">
        <f aca="false">IFERROR(L4*(1-Premissas!$B$10)-Premissas!$B$11-H4-Premissas!$B$7,"")</f>
        <v/>
      </c>
      <c r="Q4" s="18" t="str">
        <f aca="false">IFERROR(M4*F4,"")</f>
        <v/>
      </c>
      <c r="R4" s="22" t="str">
        <f aca="false">IFERROR(IF(M4&gt;0,ROUNDUP(Premissas!$B$12/M4,0),"sem lucro"),"")</f>
        <v/>
      </c>
      <c r="S4" s="15" t="s">
        <v>73</v>
      </c>
      <c r="T4" s="23" t="s">
        <v>74</v>
      </c>
      <c r="U4" s="15" t="s">
        <v>75</v>
      </c>
      <c r="V4" s="18" t="n">
        <f aca="false">IF(AND(T4="S",ISNUMBER(L4),ISNUMBER(F4)),L4*F4,0)</f>
        <v>0</v>
      </c>
      <c r="W4" s="18" t="n">
        <f aca="false">IF(AND(T4="S",ISNUMBER(Q4)),Q4,0)</f>
        <v>0</v>
      </c>
    </row>
    <row r="5" customFormat="false" ht="15" hidden="false" customHeight="false" outlineLevel="0" collapsed="false">
      <c r="A5" s="14" t="s">
        <v>76</v>
      </c>
      <c r="B5" s="15" t="s">
        <v>77</v>
      </c>
      <c r="C5" s="14" t="s">
        <v>68</v>
      </c>
      <c r="D5" s="14" t="s">
        <v>61</v>
      </c>
      <c r="E5" s="14" t="n">
        <v>1</v>
      </c>
      <c r="F5" s="16" t="n">
        <v>24</v>
      </c>
      <c r="G5" s="17"/>
      <c r="H5" s="18" t="str">
        <f aca="false">IF(ISNUMBER(G5),IFERROR(G5/F5,""),"")</f>
        <v/>
      </c>
      <c r="I5" s="17"/>
      <c r="J5" s="17"/>
      <c r="K5" s="19" t="s">
        <v>62</v>
      </c>
      <c r="L5" s="20"/>
      <c r="M5" s="18" t="str">
        <f aca="false">IFERROR(L5*(1-Premissas!$B$5)*(1-Premissas!$B$6)-H5-Premissas!$B$7,"")</f>
        <v/>
      </c>
      <c r="N5" s="21" t="str">
        <f aca="false">IFERROR(M5/L5,"")</f>
        <v/>
      </c>
      <c r="O5" s="18" t="str">
        <f aca="false">IFERROR(L5*(1-Premissas!$B$8)-Premissas!$B$9-H5-Premissas!$B$7,"")</f>
        <v/>
      </c>
      <c r="P5" s="18" t="str">
        <f aca="false">IFERROR(L5*(1-Premissas!$B$10)-Premissas!$B$11-H5-Premissas!$B$7,"")</f>
        <v/>
      </c>
      <c r="Q5" s="18" t="str">
        <f aca="false">IFERROR(M5*F5,"")</f>
        <v/>
      </c>
      <c r="R5" s="22" t="str">
        <f aca="false">IFERROR(IF(M5&gt;0,ROUNDUP(Premissas!$B$12/M5,0),"sem lucro"),"")</f>
        <v/>
      </c>
      <c r="S5" s="15" t="s">
        <v>73</v>
      </c>
      <c r="T5" s="23" t="s">
        <v>74</v>
      </c>
      <c r="U5" s="15" t="s">
        <v>75</v>
      </c>
      <c r="V5" s="18" t="n">
        <f aca="false">IF(AND(T5="S",ISNUMBER(L5),ISNUMBER(F5)),L5*F5,0)</f>
        <v>0</v>
      </c>
      <c r="W5" s="18" t="n">
        <f aca="false">IF(AND(T5="S",ISNUMBER(Q5)),Q5,0)</f>
        <v>0</v>
      </c>
    </row>
    <row r="6" customFormat="false" ht="15" hidden="false" customHeight="false" outlineLevel="0" collapsed="false">
      <c r="A6" s="14" t="s">
        <v>78</v>
      </c>
      <c r="B6" s="15" t="s">
        <v>79</v>
      </c>
      <c r="C6" s="14" t="s">
        <v>68</v>
      </c>
      <c r="D6" s="14" t="s">
        <v>61</v>
      </c>
      <c r="E6" s="14" t="n">
        <v>1</v>
      </c>
      <c r="F6" s="16" t="n">
        <v>24</v>
      </c>
      <c r="G6" s="17" t="n">
        <v>161.7</v>
      </c>
      <c r="H6" s="18" t="n">
        <f aca="false">IF(ISNUMBER(G6),IFERROR(G6/F6,""),"")</f>
        <v>6.7375</v>
      </c>
      <c r="I6" s="17" t="n">
        <v>12</v>
      </c>
      <c r="J6" s="17" t="n">
        <v>15.9</v>
      </c>
      <c r="K6" s="19" t="s">
        <v>62</v>
      </c>
      <c r="L6" s="20" t="n">
        <v>14.9</v>
      </c>
      <c r="M6" s="18" t="n">
        <f aca="false">IFERROR(L6*(1-Premissas!$B$5)*(1-Premissas!$B$6)-H6-Premissas!$B$7,"")</f>
        <v>6.27595</v>
      </c>
      <c r="N6" s="21" t="n">
        <f aca="false">IFERROR(M6/L6,"")</f>
        <v>0.421204697986577</v>
      </c>
      <c r="O6" s="18" t="n">
        <f aca="false">IFERROR(L6*(1-Premissas!$B$8)-Premissas!$B$9-H6-Premissas!$B$7,"")</f>
        <v>-0.8755</v>
      </c>
      <c r="P6" s="18" t="n">
        <f aca="false">IFERROR(L6*(1-Premissas!$B$10)-Premissas!$B$11-H6-Premissas!$B$7,"")</f>
        <v>0.182500000000002</v>
      </c>
      <c r="Q6" s="18" t="n">
        <f aca="false">IFERROR(M6*F6,"")</f>
        <v>150.6228</v>
      </c>
      <c r="R6" s="22" t="n">
        <f aca="false">IFERROR(IF(M6&gt;0,ROUNDUP(Premissas!$B$12/M6,0),"sem lucro"),"")</f>
        <v>160</v>
      </c>
      <c r="S6" s="15" t="s">
        <v>80</v>
      </c>
      <c r="T6" s="23" t="s">
        <v>74</v>
      </c>
      <c r="U6" s="15"/>
      <c r="V6" s="18" t="n">
        <f aca="false">IF(AND(T6="S",ISNUMBER(L6),ISNUMBER(F6)),L6*F6,0)</f>
        <v>0</v>
      </c>
      <c r="W6" s="18" t="n">
        <f aca="false">IF(AND(T6="S",ISNUMBER(Q6)),Q6,0)</f>
        <v>0</v>
      </c>
    </row>
    <row r="7" customFormat="false" ht="15" hidden="false" customHeight="false" outlineLevel="0" collapsed="false">
      <c r="A7" s="14" t="s">
        <v>81</v>
      </c>
      <c r="B7" s="15" t="s">
        <v>82</v>
      </c>
      <c r="C7" s="14" t="s">
        <v>68</v>
      </c>
      <c r="D7" s="14" t="s">
        <v>61</v>
      </c>
      <c r="E7" s="14" t="n">
        <v>1</v>
      </c>
      <c r="F7" s="16" t="n">
        <v>24</v>
      </c>
      <c r="G7" s="17" t="n">
        <v>161.7</v>
      </c>
      <c r="H7" s="18" t="n">
        <f aca="false">IF(ISNUMBER(G7),IFERROR(G7/F7,""),"")</f>
        <v>6.7375</v>
      </c>
      <c r="I7" s="17" t="n">
        <v>12</v>
      </c>
      <c r="J7" s="17" t="n">
        <v>15.9</v>
      </c>
      <c r="K7" s="19" t="s">
        <v>62</v>
      </c>
      <c r="L7" s="20" t="n">
        <v>14.9</v>
      </c>
      <c r="M7" s="18" t="n">
        <f aca="false">IFERROR(L7*(1-Premissas!$B$5)*(1-Premissas!$B$6)-H7-Premissas!$B$7,"")</f>
        <v>6.27595</v>
      </c>
      <c r="N7" s="21" t="n">
        <f aca="false">IFERROR(M7/L7,"")</f>
        <v>0.421204697986577</v>
      </c>
      <c r="O7" s="18" t="n">
        <f aca="false">IFERROR(L7*(1-Premissas!$B$8)-Premissas!$B$9-H7-Premissas!$B$7,"")</f>
        <v>-0.8755</v>
      </c>
      <c r="P7" s="18" t="n">
        <f aca="false">IFERROR(L7*(1-Premissas!$B$10)-Premissas!$B$11-H7-Premissas!$B$7,"")</f>
        <v>0.182500000000002</v>
      </c>
      <c r="Q7" s="18" t="n">
        <f aca="false">IFERROR(M7*F7,"")</f>
        <v>150.6228</v>
      </c>
      <c r="R7" s="22" t="n">
        <f aca="false">IFERROR(IF(M7&gt;0,ROUNDUP(Premissas!$B$12/M7,0),"sem lucro"),"")</f>
        <v>160</v>
      </c>
      <c r="S7" s="15" t="s">
        <v>69</v>
      </c>
      <c r="T7" s="23" t="s">
        <v>64</v>
      </c>
      <c r="U7" s="15"/>
      <c r="V7" s="18" t="n">
        <f aca="false">IF(AND(T7="S",ISNUMBER(L7),ISNUMBER(F7)),L7*F7,0)</f>
        <v>357.6</v>
      </c>
      <c r="W7" s="18" t="n">
        <f aca="false">IF(AND(T7="S",ISNUMBER(Q7)),Q7,0)</f>
        <v>150.6228</v>
      </c>
    </row>
    <row r="8" customFormat="false" ht="15" hidden="false" customHeight="false" outlineLevel="0" collapsed="false">
      <c r="A8" s="14" t="s">
        <v>83</v>
      </c>
      <c r="B8" s="15" t="s">
        <v>84</v>
      </c>
      <c r="C8" s="14" t="s">
        <v>68</v>
      </c>
      <c r="D8" s="14" t="s">
        <v>61</v>
      </c>
      <c r="E8" s="14" t="n">
        <v>1</v>
      </c>
      <c r="F8" s="16" t="n">
        <v>24</v>
      </c>
      <c r="G8" s="17" t="n">
        <v>163.7</v>
      </c>
      <c r="H8" s="18" t="n">
        <f aca="false">IF(ISNUMBER(G8),IFERROR(G8/F8,""),"")</f>
        <v>6.82083333333333</v>
      </c>
      <c r="I8" s="17" t="n">
        <v>15.9</v>
      </c>
      <c r="J8" s="17" t="n">
        <v>15.9</v>
      </c>
      <c r="K8" s="19" t="s">
        <v>62</v>
      </c>
      <c r="L8" s="20" t="n">
        <v>14.9</v>
      </c>
      <c r="M8" s="18" t="n">
        <f aca="false">IFERROR(L8*(1-Premissas!$B$5)*(1-Premissas!$B$6)-H8-Premissas!$B$7,"")</f>
        <v>6.19261666666667</v>
      </c>
      <c r="N8" s="21" t="n">
        <f aca="false">IFERROR(M8/L8,"")</f>
        <v>0.415611856823266</v>
      </c>
      <c r="O8" s="18" t="n">
        <f aca="false">IFERROR(L8*(1-Premissas!$B$8)-Premissas!$B$9-H8-Premissas!$B$7,"")</f>
        <v>-0.958833333333333</v>
      </c>
      <c r="P8" s="18" t="n">
        <f aca="false">IFERROR(L8*(1-Premissas!$B$10)-Premissas!$B$11-H8-Premissas!$B$7,"")</f>
        <v>0.0991666666666689</v>
      </c>
      <c r="Q8" s="18" t="n">
        <f aca="false">IFERROR(M8*F8,"")</f>
        <v>148.6228</v>
      </c>
      <c r="R8" s="22" t="n">
        <f aca="false">IFERROR(IF(M8&gt;0,ROUNDUP(Premissas!$B$12/M8,0),"sem lucro"),"")</f>
        <v>162</v>
      </c>
      <c r="S8" s="15" t="s">
        <v>69</v>
      </c>
      <c r="T8" s="23" t="s">
        <v>64</v>
      </c>
      <c r="U8" s="15"/>
      <c r="V8" s="18" t="n">
        <f aca="false">IF(AND(T8="S",ISNUMBER(L8),ISNUMBER(F8)),L8*F8,0)</f>
        <v>357.6</v>
      </c>
      <c r="W8" s="18" t="n">
        <f aca="false">IF(AND(T8="S",ISNUMBER(Q8)),Q8,0)</f>
        <v>148.6228</v>
      </c>
    </row>
    <row r="9" customFormat="false" ht="26.85" hidden="false" customHeight="false" outlineLevel="0" collapsed="false">
      <c r="A9" s="14" t="s">
        <v>85</v>
      </c>
      <c r="B9" s="15" t="s">
        <v>86</v>
      </c>
      <c r="C9" s="14" t="s">
        <v>68</v>
      </c>
      <c r="D9" s="14" t="s">
        <v>61</v>
      </c>
      <c r="E9" s="14" t="n">
        <v>1</v>
      </c>
      <c r="F9" s="16" t="n">
        <v>1</v>
      </c>
      <c r="G9" s="17" t="n">
        <v>5.7</v>
      </c>
      <c r="H9" s="18" t="n">
        <f aca="false">IF(ISNUMBER(G9),IFERROR(G9/F9,""),"")</f>
        <v>5.7</v>
      </c>
      <c r="I9" s="17" t="n">
        <v>7.9</v>
      </c>
      <c r="J9" s="17" t="n">
        <v>10</v>
      </c>
      <c r="K9" s="19" t="s">
        <v>62</v>
      </c>
      <c r="L9" s="20" t="n">
        <v>11.9</v>
      </c>
      <c r="M9" s="18" t="n">
        <f aca="false">IFERROR(L9*(1-Premissas!$B$5)*(1-Premissas!$B$6)-H9-Premissas!$B$7,"")</f>
        <v>4.49195</v>
      </c>
      <c r="N9" s="21" t="n">
        <f aca="false">IFERROR(M9/L9,"")</f>
        <v>0.377474789915966</v>
      </c>
      <c r="O9" s="18" t="n">
        <f aca="false">IFERROR(L9*(1-Premissas!$B$8)-Premissas!$B$9-H9-Premissas!$B$7,"")</f>
        <v>-2.478</v>
      </c>
      <c r="P9" s="18" t="n">
        <f aca="false">IFERROR(L9*(1-Premissas!$B$10)-Premissas!$B$11-H9-Premissas!$B$7,"")</f>
        <v>-1.18</v>
      </c>
      <c r="Q9" s="18" t="n">
        <f aca="false">IFERROR(M9*F9,"")</f>
        <v>4.49195</v>
      </c>
      <c r="R9" s="22" t="n">
        <f aca="false">IFERROR(IF(M9&gt;0,ROUNDUP(Premissas!$B$12/M9,0),"sem lucro"),"")</f>
        <v>223</v>
      </c>
      <c r="S9" s="15" t="s">
        <v>73</v>
      </c>
      <c r="T9" s="23" t="s">
        <v>74</v>
      </c>
      <c r="U9" s="15" t="s">
        <v>87</v>
      </c>
      <c r="V9" s="18" t="n">
        <f aca="false">IF(AND(T9="S",ISNUMBER(L9),ISNUMBER(F9)),L9*F9,0)</f>
        <v>0</v>
      </c>
      <c r="W9" s="18" t="n">
        <f aca="false">IF(AND(T9="S",ISNUMBER(Q9)),Q9,0)</f>
        <v>0</v>
      </c>
    </row>
    <row r="10" customFormat="false" ht="15" hidden="false" customHeight="false" outlineLevel="0" collapsed="false">
      <c r="A10" s="14" t="s">
        <v>88</v>
      </c>
      <c r="B10" s="15" t="s">
        <v>89</v>
      </c>
      <c r="C10" s="14" t="s">
        <v>68</v>
      </c>
      <c r="D10" s="14" t="s">
        <v>90</v>
      </c>
      <c r="E10" s="14" t="n">
        <v>1</v>
      </c>
      <c r="F10" s="16" t="n">
        <v>1</v>
      </c>
      <c r="G10" s="17" t="n">
        <v>5.7</v>
      </c>
      <c r="H10" s="18" t="n">
        <f aca="false">IF(ISNUMBER(G10),IFERROR(G10/F10,""),"")</f>
        <v>5.7</v>
      </c>
      <c r="I10" s="17" t="n">
        <v>9.99</v>
      </c>
      <c r="J10" s="17" t="n">
        <v>12</v>
      </c>
      <c r="K10" s="14" t="s">
        <v>91</v>
      </c>
      <c r="L10" s="20" t="n">
        <v>12.9</v>
      </c>
      <c r="M10" s="18" t="n">
        <f aca="false">IFERROR(L10*(1-Premissas!$B$5)*(1-Premissas!$B$6)-H10-Premissas!$B$7,"")</f>
        <v>5.43245</v>
      </c>
      <c r="N10" s="21" t="n">
        <f aca="false">IFERROR(M10/L10,"")</f>
        <v>0.42112015503876</v>
      </c>
      <c r="O10" s="18" t="n">
        <f aca="false">IFERROR(L10*(1-Premissas!$B$8)-Premissas!$B$9-H10-Premissas!$B$7,"")</f>
        <v>-1.598</v>
      </c>
      <c r="P10" s="18" t="n">
        <f aca="false">IFERROR(L10*(1-Premissas!$B$10)-Premissas!$B$11-H10-Premissas!$B$7,"")</f>
        <v>-0.38</v>
      </c>
      <c r="Q10" s="18" t="n">
        <f aca="false">IFERROR(M10*F10,"")</f>
        <v>5.43245</v>
      </c>
      <c r="R10" s="22" t="n">
        <f aca="false">IFERROR(IF(M10&gt;0,ROUNDUP(Premissas!$B$12/M10,0),"sem lucro"),"")</f>
        <v>185</v>
      </c>
      <c r="S10" s="15" t="s">
        <v>63</v>
      </c>
      <c r="T10" s="23" t="s">
        <v>64</v>
      </c>
      <c r="U10" s="15"/>
      <c r="V10" s="18" t="n">
        <f aca="false">IF(AND(T10="S",ISNUMBER(L10),ISNUMBER(F10)),L10*F10,0)</f>
        <v>12.9</v>
      </c>
      <c r="W10" s="18" t="n">
        <f aca="false">IF(AND(T10="S",ISNUMBER(Q10)),Q10,0)</f>
        <v>5.43245</v>
      </c>
    </row>
    <row r="11" customFormat="false" ht="15" hidden="false" customHeight="false" outlineLevel="0" collapsed="false">
      <c r="A11" s="14" t="s">
        <v>92</v>
      </c>
      <c r="B11" s="15" t="s">
        <v>93</v>
      </c>
      <c r="C11" s="14" t="s">
        <v>68</v>
      </c>
      <c r="D11" s="14" t="s">
        <v>90</v>
      </c>
      <c r="E11" s="14" t="n">
        <v>1</v>
      </c>
      <c r="F11" s="16" t="n">
        <v>1</v>
      </c>
      <c r="G11" s="17" t="n">
        <v>5.7</v>
      </c>
      <c r="H11" s="18" t="n">
        <f aca="false">IF(ISNUMBER(G11),IFERROR(G11/F11,""),"")</f>
        <v>5.7</v>
      </c>
      <c r="I11" s="17" t="n">
        <v>12.9</v>
      </c>
      <c r="J11" s="17" t="n">
        <v>16.99</v>
      </c>
      <c r="K11" s="14" t="s">
        <v>91</v>
      </c>
      <c r="L11" s="20" t="n">
        <v>14.9</v>
      </c>
      <c r="M11" s="18" t="n">
        <f aca="false">IFERROR(L11*(1-Premissas!$B$5)*(1-Premissas!$B$6)-H11-Premissas!$B$7,"")</f>
        <v>7.31345</v>
      </c>
      <c r="N11" s="21" t="n">
        <f aca="false">IFERROR(M11/L11,"")</f>
        <v>0.490835570469799</v>
      </c>
      <c r="O11" s="18" t="n">
        <f aca="false">IFERROR(L11*(1-Premissas!$B$8)-Premissas!$B$9-H11-Premissas!$B$7,"")</f>
        <v>0.162</v>
      </c>
      <c r="P11" s="18" t="n">
        <f aca="false">IFERROR(L11*(1-Premissas!$B$10)-Premissas!$B$11-H11-Premissas!$B$7,"")</f>
        <v>1.22</v>
      </c>
      <c r="Q11" s="18" t="n">
        <f aca="false">IFERROR(M11*F11,"")</f>
        <v>7.31345</v>
      </c>
      <c r="R11" s="22" t="n">
        <f aca="false">IFERROR(IF(M11&gt;0,ROUNDUP(Premissas!$B$12/M11,0),"sem lucro"),"")</f>
        <v>137</v>
      </c>
      <c r="S11" s="15" t="s">
        <v>63</v>
      </c>
      <c r="T11" s="23" t="s">
        <v>64</v>
      </c>
      <c r="U11" s="15"/>
      <c r="V11" s="18" t="n">
        <f aca="false">IF(AND(T11="S",ISNUMBER(L11),ISNUMBER(F11)),L11*F11,0)</f>
        <v>14.9</v>
      </c>
      <c r="W11" s="18" t="n">
        <f aca="false">IF(AND(T11="S",ISNUMBER(Q11)),Q11,0)</f>
        <v>7.31345</v>
      </c>
    </row>
    <row r="12" customFormat="false" ht="15" hidden="false" customHeight="false" outlineLevel="0" collapsed="false">
      <c r="A12" s="14" t="s">
        <v>94</v>
      </c>
      <c r="B12" s="15" t="s">
        <v>95</v>
      </c>
      <c r="C12" s="14" t="s">
        <v>68</v>
      </c>
      <c r="D12" s="14" t="s">
        <v>90</v>
      </c>
      <c r="E12" s="14" t="n">
        <v>1</v>
      </c>
      <c r="F12" s="16" t="n">
        <v>1</v>
      </c>
      <c r="G12" s="17" t="n">
        <v>5.7</v>
      </c>
      <c r="H12" s="18" t="n">
        <f aca="false">IF(ISNUMBER(G12),IFERROR(G12/F12,""),"")</f>
        <v>5.7</v>
      </c>
      <c r="I12" s="17" t="n">
        <v>9.99</v>
      </c>
      <c r="J12" s="17" t="n">
        <v>12</v>
      </c>
      <c r="K12" s="19" t="s">
        <v>62</v>
      </c>
      <c r="L12" s="20" t="n">
        <v>12.9</v>
      </c>
      <c r="M12" s="18" t="n">
        <f aca="false">IFERROR(L12*(1-Premissas!$B$5)*(1-Premissas!$B$6)-H12-Premissas!$B$7,"")</f>
        <v>5.43245</v>
      </c>
      <c r="N12" s="21" t="n">
        <f aca="false">IFERROR(M12/L12,"")</f>
        <v>0.42112015503876</v>
      </c>
      <c r="O12" s="18" t="n">
        <f aca="false">IFERROR(L12*(1-Premissas!$B$8)-Premissas!$B$9-H12-Premissas!$B$7,"")</f>
        <v>-1.598</v>
      </c>
      <c r="P12" s="18" t="n">
        <f aca="false">IFERROR(L12*(1-Premissas!$B$10)-Premissas!$B$11-H12-Premissas!$B$7,"")</f>
        <v>-0.38</v>
      </c>
      <c r="Q12" s="18" t="n">
        <f aca="false">IFERROR(M12*F12,"")</f>
        <v>5.43245</v>
      </c>
      <c r="R12" s="22" t="n">
        <f aca="false">IFERROR(IF(M12&gt;0,ROUNDUP(Premissas!$B$12/M12,0),"sem lucro"),"")</f>
        <v>185</v>
      </c>
      <c r="S12" s="15" t="s">
        <v>80</v>
      </c>
      <c r="T12" s="23" t="s">
        <v>74</v>
      </c>
      <c r="U12" s="15"/>
      <c r="V12" s="18" t="n">
        <f aca="false">IF(AND(T12="S",ISNUMBER(L12),ISNUMBER(F12)),L12*F12,0)</f>
        <v>0</v>
      </c>
      <c r="W12" s="18" t="n">
        <f aca="false">IF(AND(T12="S",ISNUMBER(Q12)),Q12,0)</f>
        <v>0</v>
      </c>
    </row>
    <row r="13" customFormat="false" ht="15" hidden="false" customHeight="false" outlineLevel="0" collapsed="false">
      <c r="A13" s="14" t="s">
        <v>96</v>
      </c>
      <c r="B13" s="15" t="s">
        <v>97</v>
      </c>
      <c r="C13" s="14" t="s">
        <v>68</v>
      </c>
      <c r="D13" s="14" t="s">
        <v>90</v>
      </c>
      <c r="E13" s="14" t="n">
        <v>1</v>
      </c>
      <c r="F13" s="16" t="n">
        <v>1</v>
      </c>
      <c r="G13" s="17" t="n">
        <v>5.7</v>
      </c>
      <c r="H13" s="18" t="n">
        <f aca="false">IF(ISNUMBER(G13),IFERROR(G13/F13,""),"")</f>
        <v>5.7</v>
      </c>
      <c r="I13" s="17" t="n">
        <v>9.99</v>
      </c>
      <c r="J13" s="17" t="n">
        <v>12</v>
      </c>
      <c r="K13" s="19" t="s">
        <v>62</v>
      </c>
      <c r="L13" s="20" t="n">
        <v>12.9</v>
      </c>
      <c r="M13" s="18" t="n">
        <f aca="false">IFERROR(L13*(1-Premissas!$B$5)*(1-Premissas!$B$6)-H13-Premissas!$B$7,"")</f>
        <v>5.43245</v>
      </c>
      <c r="N13" s="21" t="n">
        <f aca="false">IFERROR(M13/L13,"")</f>
        <v>0.42112015503876</v>
      </c>
      <c r="O13" s="18" t="n">
        <f aca="false">IFERROR(L13*(1-Premissas!$B$8)-Premissas!$B$9-H13-Premissas!$B$7,"")</f>
        <v>-1.598</v>
      </c>
      <c r="P13" s="18" t="n">
        <f aca="false">IFERROR(L13*(1-Premissas!$B$10)-Premissas!$B$11-H13-Premissas!$B$7,"")</f>
        <v>-0.38</v>
      </c>
      <c r="Q13" s="18" t="n">
        <f aca="false">IFERROR(M13*F13,"")</f>
        <v>5.43245</v>
      </c>
      <c r="R13" s="22" t="n">
        <f aca="false">IFERROR(IF(M13&gt;0,ROUNDUP(Premissas!$B$12/M13,0),"sem lucro"),"")</f>
        <v>185</v>
      </c>
      <c r="S13" s="15" t="s">
        <v>98</v>
      </c>
      <c r="T13" s="23" t="s">
        <v>64</v>
      </c>
      <c r="U13" s="15"/>
      <c r="V13" s="18" t="n">
        <f aca="false">IF(AND(T13="S",ISNUMBER(L13),ISNUMBER(F13)),L13*F13,0)</f>
        <v>12.9</v>
      </c>
      <c r="W13" s="18" t="n">
        <f aca="false">IF(AND(T13="S",ISNUMBER(Q13)),Q13,0)</f>
        <v>5.43245</v>
      </c>
    </row>
    <row r="14" customFormat="false" ht="15" hidden="false" customHeight="false" outlineLevel="0" collapsed="false">
      <c r="A14" s="14" t="s">
        <v>99</v>
      </c>
      <c r="B14" s="15" t="s">
        <v>100</v>
      </c>
      <c r="C14" s="14" t="s">
        <v>68</v>
      </c>
      <c r="D14" s="14" t="s">
        <v>90</v>
      </c>
      <c r="E14" s="14" t="n">
        <v>1</v>
      </c>
      <c r="F14" s="16" t="n">
        <v>1</v>
      </c>
      <c r="G14" s="17" t="n">
        <v>5.7</v>
      </c>
      <c r="H14" s="18" t="n">
        <f aca="false">IF(ISNUMBER(G14),IFERROR(G14/F14,""),"")</f>
        <v>5.7</v>
      </c>
      <c r="I14" s="17" t="n">
        <v>9.99</v>
      </c>
      <c r="J14" s="17" t="n">
        <v>12</v>
      </c>
      <c r="K14" s="14" t="s">
        <v>91</v>
      </c>
      <c r="L14" s="20" t="n">
        <v>12.9</v>
      </c>
      <c r="M14" s="18" t="n">
        <f aca="false">IFERROR(L14*(1-Premissas!$B$5)*(1-Premissas!$B$6)-H14-Premissas!$B$7,"")</f>
        <v>5.43245</v>
      </c>
      <c r="N14" s="21" t="n">
        <f aca="false">IFERROR(M14/L14,"")</f>
        <v>0.42112015503876</v>
      </c>
      <c r="O14" s="18" t="n">
        <f aca="false">IFERROR(L14*(1-Premissas!$B$8)-Premissas!$B$9-H14-Premissas!$B$7,"")</f>
        <v>-1.598</v>
      </c>
      <c r="P14" s="18" t="n">
        <f aca="false">IFERROR(L14*(1-Premissas!$B$10)-Premissas!$B$11-H14-Premissas!$B$7,"")</f>
        <v>-0.38</v>
      </c>
      <c r="Q14" s="18" t="n">
        <f aca="false">IFERROR(M14*F14,"")</f>
        <v>5.43245</v>
      </c>
      <c r="R14" s="22" t="n">
        <f aca="false">IFERROR(IF(M14&gt;0,ROUNDUP(Premissas!$B$12/M14,0),"sem lucro"),"")</f>
        <v>185</v>
      </c>
      <c r="S14" s="15" t="s">
        <v>80</v>
      </c>
      <c r="T14" s="23" t="s">
        <v>74</v>
      </c>
      <c r="U14" s="15"/>
      <c r="V14" s="18" t="n">
        <f aca="false">IF(AND(T14="S",ISNUMBER(L14),ISNUMBER(F14)),L14*F14,0)</f>
        <v>0</v>
      </c>
      <c r="W14" s="18" t="n">
        <f aca="false">IF(AND(T14="S",ISNUMBER(Q14)),Q14,0)</f>
        <v>0</v>
      </c>
    </row>
    <row r="15" customFormat="false" ht="15" hidden="false" customHeight="false" outlineLevel="0" collapsed="false">
      <c r="A15" s="14" t="s">
        <v>101</v>
      </c>
      <c r="B15" s="15" t="s">
        <v>102</v>
      </c>
      <c r="C15" s="14" t="s">
        <v>68</v>
      </c>
      <c r="D15" s="14" t="s">
        <v>90</v>
      </c>
      <c r="E15" s="14" t="n">
        <v>1</v>
      </c>
      <c r="F15" s="16" t="n">
        <v>1</v>
      </c>
      <c r="G15" s="17" t="n">
        <v>5.7</v>
      </c>
      <c r="H15" s="18" t="n">
        <f aca="false">IF(ISNUMBER(G15),IFERROR(G15/F15,""),"")</f>
        <v>5.7</v>
      </c>
      <c r="I15" s="17" t="n">
        <v>9.99</v>
      </c>
      <c r="J15" s="17" t="n">
        <v>12</v>
      </c>
      <c r="K15" s="14" t="s">
        <v>91</v>
      </c>
      <c r="L15" s="20" t="n">
        <v>12.9</v>
      </c>
      <c r="M15" s="18" t="n">
        <f aca="false">IFERROR(L15*(1-Premissas!$B$5)*(1-Premissas!$B$6)-H15-Premissas!$B$7,"")</f>
        <v>5.43245</v>
      </c>
      <c r="N15" s="21" t="n">
        <f aca="false">IFERROR(M15/L15,"")</f>
        <v>0.42112015503876</v>
      </c>
      <c r="O15" s="18" t="n">
        <f aca="false">IFERROR(L15*(1-Premissas!$B$8)-Premissas!$B$9-H15-Premissas!$B$7,"")</f>
        <v>-1.598</v>
      </c>
      <c r="P15" s="18" t="n">
        <f aca="false">IFERROR(L15*(1-Premissas!$B$10)-Premissas!$B$11-H15-Premissas!$B$7,"")</f>
        <v>-0.38</v>
      </c>
      <c r="Q15" s="18" t="n">
        <f aca="false">IFERROR(M15*F15,"")</f>
        <v>5.43245</v>
      </c>
      <c r="R15" s="22" t="n">
        <f aca="false">IFERROR(IF(M15&gt;0,ROUNDUP(Premissas!$B$12/M15,0),"sem lucro"),"")</f>
        <v>185</v>
      </c>
      <c r="S15" s="15" t="s">
        <v>80</v>
      </c>
      <c r="T15" s="23" t="s">
        <v>74</v>
      </c>
      <c r="U15" s="15"/>
      <c r="V15" s="18" t="n">
        <f aca="false">IF(AND(T15="S",ISNUMBER(L15),ISNUMBER(F15)),L15*F15,0)</f>
        <v>0</v>
      </c>
      <c r="W15" s="18" t="n">
        <f aca="false">IF(AND(T15="S",ISNUMBER(Q15)),Q15,0)</f>
        <v>0</v>
      </c>
    </row>
    <row r="16" customFormat="false" ht="15" hidden="false" customHeight="false" outlineLevel="0" collapsed="false">
      <c r="A16" s="14" t="s">
        <v>103</v>
      </c>
      <c r="B16" s="15" t="s">
        <v>104</v>
      </c>
      <c r="C16" s="14" t="s">
        <v>105</v>
      </c>
      <c r="D16" s="14" t="s">
        <v>106</v>
      </c>
      <c r="E16" s="14" t="n">
        <v>1</v>
      </c>
      <c r="F16" s="16" t="n">
        <v>1</v>
      </c>
      <c r="G16" s="17" t="n">
        <v>5.3</v>
      </c>
      <c r="H16" s="18" t="n">
        <f aca="false">IF(ISNUMBER(G16),IFERROR(G16/F16,""),"")</f>
        <v>5.3</v>
      </c>
      <c r="I16" s="17" t="n">
        <v>13.9</v>
      </c>
      <c r="J16" s="17" t="n">
        <v>19.9</v>
      </c>
      <c r="K16" s="14" t="s">
        <v>91</v>
      </c>
      <c r="L16" s="20" t="n">
        <v>16.9</v>
      </c>
      <c r="M16" s="18" t="n">
        <f aca="false">IFERROR(L16*(1-Premissas!$B$5)*(1-Premissas!$B$6)-H16-Premissas!$B$7,"")</f>
        <v>9.59445</v>
      </c>
      <c r="N16" s="21" t="n">
        <f aca="false">IFERROR(M16/L16,"")</f>
        <v>0.567718934911242</v>
      </c>
      <c r="O16" s="18" t="n">
        <f aca="false">IFERROR(L16*(1-Premissas!$B$8)-Premissas!$B$9-H16-Premissas!$B$7,"")</f>
        <v>2.322</v>
      </c>
      <c r="P16" s="18" t="n">
        <f aca="false">IFERROR(L16*(1-Premissas!$B$10)-Premissas!$B$11-H16-Premissas!$B$7,"")</f>
        <v>3.22</v>
      </c>
      <c r="Q16" s="18" t="n">
        <f aca="false">IFERROR(M16*F16,"")</f>
        <v>9.59445</v>
      </c>
      <c r="R16" s="22" t="n">
        <f aca="false">IFERROR(IF(M16&gt;0,ROUNDUP(Premissas!$B$12/M16,0),"sem lucro"),"")</f>
        <v>105</v>
      </c>
      <c r="S16" s="15" t="s">
        <v>63</v>
      </c>
      <c r="T16" s="23" t="s">
        <v>64</v>
      </c>
      <c r="U16" s="15"/>
      <c r="V16" s="18" t="n">
        <f aca="false">IF(AND(T16="S",ISNUMBER(L16),ISNUMBER(F16)),L16*F16,0)</f>
        <v>16.9</v>
      </c>
      <c r="W16" s="18" t="n">
        <f aca="false">IF(AND(T16="S",ISNUMBER(Q16)),Q16,0)</f>
        <v>9.59445</v>
      </c>
    </row>
    <row r="17" customFormat="false" ht="15" hidden="false" customHeight="false" outlineLevel="0" collapsed="false">
      <c r="A17" s="14" t="s">
        <v>107</v>
      </c>
      <c r="B17" s="15" t="s">
        <v>108</v>
      </c>
      <c r="C17" s="14" t="s">
        <v>105</v>
      </c>
      <c r="D17" s="14" t="s">
        <v>106</v>
      </c>
      <c r="E17" s="14" t="n">
        <v>1</v>
      </c>
      <c r="F17" s="16" t="n">
        <v>1</v>
      </c>
      <c r="G17" s="17" t="n">
        <v>2.6</v>
      </c>
      <c r="H17" s="18" t="n">
        <f aca="false">IF(ISNUMBER(G17),IFERROR(G17/F17,""),"")</f>
        <v>2.6</v>
      </c>
      <c r="I17" s="17" t="n">
        <v>6.9</v>
      </c>
      <c r="J17" s="17" t="n">
        <v>6.9</v>
      </c>
      <c r="K17" s="19" t="s">
        <v>62</v>
      </c>
      <c r="L17" s="20" t="n">
        <v>7.9</v>
      </c>
      <c r="M17" s="18" t="n">
        <f aca="false">IFERROR(L17*(1-Premissas!$B$5)*(1-Premissas!$B$6)-H17-Premissas!$B$7,"")</f>
        <v>3.82995</v>
      </c>
      <c r="N17" s="21" t="n">
        <f aca="false">IFERROR(M17/L17,"")</f>
        <v>0.484803797468354</v>
      </c>
      <c r="O17" s="18" t="n">
        <f aca="false">IFERROR(L17*(1-Premissas!$B$8)-Premissas!$B$9-H17-Premissas!$B$7,"")</f>
        <v>-2.898</v>
      </c>
      <c r="P17" s="18" t="n">
        <f aca="false">IFERROR(L17*(1-Premissas!$B$10)-Premissas!$B$11-H17-Premissas!$B$7,"")</f>
        <v>-1.28</v>
      </c>
      <c r="Q17" s="18" t="n">
        <f aca="false">IFERROR(M17*F17,"")</f>
        <v>3.82995</v>
      </c>
      <c r="R17" s="22" t="n">
        <f aca="false">IFERROR(IF(M17&gt;0,ROUNDUP(Premissas!$B$12/M17,0),"sem lucro"),"")</f>
        <v>262</v>
      </c>
      <c r="S17" s="15" t="s">
        <v>109</v>
      </c>
      <c r="T17" s="23" t="s">
        <v>74</v>
      </c>
      <c r="U17" s="15"/>
      <c r="V17" s="18" t="n">
        <f aca="false">IF(AND(T17="S",ISNUMBER(L17),ISNUMBER(F17)),L17*F17,0)</f>
        <v>0</v>
      </c>
      <c r="W17" s="18" t="n">
        <f aca="false">IF(AND(T17="S",ISNUMBER(Q17)),Q17,0)</f>
        <v>0</v>
      </c>
    </row>
    <row r="18" customFormat="false" ht="15" hidden="false" customHeight="false" outlineLevel="0" collapsed="false">
      <c r="A18" s="14" t="s">
        <v>110</v>
      </c>
      <c r="B18" s="15" t="s">
        <v>111</v>
      </c>
      <c r="C18" s="14" t="s">
        <v>105</v>
      </c>
      <c r="D18" s="14" t="s">
        <v>106</v>
      </c>
      <c r="E18" s="14" t="n">
        <v>1</v>
      </c>
      <c r="F18" s="16" t="n">
        <v>1</v>
      </c>
      <c r="G18" s="17" t="n">
        <v>2.6</v>
      </c>
      <c r="H18" s="18" t="n">
        <f aca="false">IF(ISNUMBER(G18),IFERROR(G18/F18,""),"")</f>
        <v>2.6</v>
      </c>
      <c r="I18" s="17" t="n">
        <v>6.9</v>
      </c>
      <c r="J18" s="17" t="n">
        <v>6.9</v>
      </c>
      <c r="K18" s="19" t="s">
        <v>62</v>
      </c>
      <c r="L18" s="20" t="n">
        <v>7.9</v>
      </c>
      <c r="M18" s="18" t="n">
        <f aca="false">IFERROR(L18*(1-Premissas!$B$5)*(1-Premissas!$B$6)-H18-Premissas!$B$7,"")</f>
        <v>3.82995</v>
      </c>
      <c r="N18" s="21" t="n">
        <f aca="false">IFERROR(M18/L18,"")</f>
        <v>0.484803797468354</v>
      </c>
      <c r="O18" s="18" t="n">
        <f aca="false">IFERROR(L18*(1-Premissas!$B$8)-Premissas!$B$9-H18-Premissas!$B$7,"")</f>
        <v>-2.898</v>
      </c>
      <c r="P18" s="18" t="n">
        <f aca="false">IFERROR(L18*(1-Premissas!$B$10)-Premissas!$B$11-H18-Premissas!$B$7,"")</f>
        <v>-1.28</v>
      </c>
      <c r="Q18" s="18" t="n">
        <f aca="false">IFERROR(M18*F18,"")</f>
        <v>3.82995</v>
      </c>
      <c r="R18" s="22" t="n">
        <f aca="false">IFERROR(IF(M18&gt;0,ROUNDUP(Premissas!$B$12/M18,0),"sem lucro"),"")</f>
        <v>262</v>
      </c>
      <c r="S18" s="15" t="s">
        <v>109</v>
      </c>
      <c r="T18" s="23" t="s">
        <v>74</v>
      </c>
      <c r="U18" s="15"/>
      <c r="V18" s="18" t="n">
        <f aca="false">IF(AND(T18="S",ISNUMBER(L18),ISNUMBER(F18)),L18*F18,0)</f>
        <v>0</v>
      </c>
      <c r="W18" s="18" t="n">
        <f aca="false">IF(AND(T18="S",ISNUMBER(Q18)),Q18,0)</f>
        <v>0</v>
      </c>
    </row>
    <row r="19" customFormat="false" ht="15" hidden="false" customHeight="false" outlineLevel="0" collapsed="false">
      <c r="A19" s="14" t="s">
        <v>112</v>
      </c>
      <c r="B19" s="15" t="s">
        <v>113</v>
      </c>
      <c r="C19" s="14" t="s">
        <v>114</v>
      </c>
      <c r="D19" s="14" t="s">
        <v>115</v>
      </c>
      <c r="E19" s="14" t="n">
        <v>1</v>
      </c>
      <c r="F19" s="16" t="n">
        <v>24</v>
      </c>
      <c r="G19" s="17" t="n">
        <v>101.99</v>
      </c>
      <c r="H19" s="18" t="n">
        <f aca="false">IF(ISNUMBER(G19),IFERROR(G19/F19,""),"")</f>
        <v>4.24958333333333</v>
      </c>
      <c r="I19" s="17" t="n">
        <v>10</v>
      </c>
      <c r="J19" s="17" t="n">
        <v>10</v>
      </c>
      <c r="K19" s="19" t="s">
        <v>62</v>
      </c>
      <c r="L19" s="20" t="n">
        <v>11.9</v>
      </c>
      <c r="M19" s="18" t="n">
        <f aca="false">IFERROR(L19*(1-Premissas!$B$5)*(1-Premissas!$B$6)-H19-Premissas!$B$7,"")</f>
        <v>5.94236666666667</v>
      </c>
      <c r="N19" s="21" t="n">
        <f aca="false">IFERROR(M19/L19,"")</f>
        <v>0.499358543417367</v>
      </c>
      <c r="O19" s="18" t="n">
        <f aca="false">IFERROR(L19*(1-Premissas!$B$8)-Premissas!$B$9-H19-Premissas!$B$7,"")</f>
        <v>-1.02758333333333</v>
      </c>
      <c r="P19" s="18" t="n">
        <f aca="false">IFERROR(L19*(1-Premissas!$B$10)-Premissas!$B$11-H19-Premissas!$B$7,"")</f>
        <v>0.270416666666669</v>
      </c>
      <c r="Q19" s="18" t="n">
        <f aca="false">IFERROR(M19*F19,"")</f>
        <v>142.6168</v>
      </c>
      <c r="R19" s="22" t="n">
        <f aca="false">IFERROR(IF(M19&gt;0,ROUNDUP(Premissas!$B$12/M19,0),"sem lucro"),"")</f>
        <v>169</v>
      </c>
      <c r="S19" s="15" t="s">
        <v>80</v>
      </c>
      <c r="T19" s="23" t="s">
        <v>74</v>
      </c>
      <c r="U19" s="15"/>
      <c r="V19" s="18" t="n">
        <f aca="false">IF(AND(T19="S",ISNUMBER(L19),ISNUMBER(F19)),L19*F19,0)</f>
        <v>0</v>
      </c>
      <c r="W19" s="18" t="n">
        <f aca="false">IF(AND(T19="S",ISNUMBER(Q19)),Q19,0)</f>
        <v>0</v>
      </c>
    </row>
    <row r="20" customFormat="false" ht="15" hidden="false" customHeight="false" outlineLevel="0" collapsed="false">
      <c r="A20" s="14" t="s">
        <v>116</v>
      </c>
      <c r="B20" s="15" t="s">
        <v>117</v>
      </c>
      <c r="C20" s="14" t="s">
        <v>114</v>
      </c>
      <c r="D20" s="14" t="s">
        <v>115</v>
      </c>
      <c r="E20" s="14" t="n">
        <v>1</v>
      </c>
      <c r="F20" s="16" t="n">
        <v>24</v>
      </c>
      <c r="G20" s="17" t="n">
        <v>90.99</v>
      </c>
      <c r="H20" s="18" t="n">
        <f aca="false">IF(ISNUMBER(G20),IFERROR(G20/F20,""),"")</f>
        <v>3.79125</v>
      </c>
      <c r="I20" s="17" t="n">
        <v>10</v>
      </c>
      <c r="J20" s="17" t="n">
        <v>10</v>
      </c>
      <c r="K20" s="19" t="s">
        <v>62</v>
      </c>
      <c r="L20" s="20" t="n">
        <v>9.9</v>
      </c>
      <c r="M20" s="18" t="n">
        <f aca="false">IFERROR(L20*(1-Premissas!$B$5)*(1-Premissas!$B$6)-H20-Premissas!$B$7,"")</f>
        <v>4.5197</v>
      </c>
      <c r="N20" s="21" t="n">
        <f aca="false">IFERROR(M20/L20,"")</f>
        <v>0.456535353535354</v>
      </c>
      <c r="O20" s="18" t="n">
        <f aca="false">IFERROR(L20*(1-Premissas!$B$8)-Premissas!$B$9-H20-Premissas!$B$7,"")</f>
        <v>-2.32925</v>
      </c>
      <c r="P20" s="18" t="n">
        <f aca="false">IFERROR(L20*(1-Premissas!$B$10)-Premissas!$B$11-H20-Premissas!$B$7,"")</f>
        <v>-0.871249999999999</v>
      </c>
      <c r="Q20" s="18" t="n">
        <f aca="false">IFERROR(M20*F20,"")</f>
        <v>108.4728</v>
      </c>
      <c r="R20" s="22" t="n">
        <f aca="false">IFERROR(IF(M20&gt;0,ROUNDUP(Premissas!$B$12/M20,0),"sem lucro"),"")</f>
        <v>222</v>
      </c>
      <c r="S20" s="15" t="s">
        <v>118</v>
      </c>
      <c r="T20" s="23" t="s">
        <v>74</v>
      </c>
      <c r="U20" s="15"/>
      <c r="V20" s="18" t="n">
        <f aca="false">IF(AND(T20="S",ISNUMBER(L20),ISNUMBER(F20)),L20*F20,0)</f>
        <v>0</v>
      </c>
      <c r="W20" s="18" t="n">
        <f aca="false">IF(AND(T20="S",ISNUMBER(Q20)),Q20,0)</f>
        <v>0</v>
      </c>
    </row>
    <row r="21" customFormat="false" ht="15" hidden="false" customHeight="false" outlineLevel="0" collapsed="false">
      <c r="A21" s="14" t="s">
        <v>119</v>
      </c>
      <c r="B21" s="15" t="s">
        <v>120</v>
      </c>
      <c r="C21" s="14" t="s">
        <v>114</v>
      </c>
      <c r="D21" s="14" t="s">
        <v>115</v>
      </c>
      <c r="E21" s="14" t="n">
        <v>1</v>
      </c>
      <c r="F21" s="16" t="n">
        <v>24</v>
      </c>
      <c r="G21" s="17" t="n">
        <v>64.2</v>
      </c>
      <c r="H21" s="18" t="n">
        <f aca="false">IF(ISNUMBER(G21),IFERROR(G21/F21,""),"")</f>
        <v>2.675</v>
      </c>
      <c r="I21" s="17" t="n">
        <v>5</v>
      </c>
      <c r="J21" s="17" t="n">
        <v>10</v>
      </c>
      <c r="K21" s="19" t="s">
        <v>62</v>
      </c>
      <c r="L21" s="20" t="n">
        <v>7.9</v>
      </c>
      <c r="M21" s="18" t="n">
        <f aca="false">IFERROR(L21*(1-Premissas!$B$5)*(1-Premissas!$B$6)-H21-Premissas!$B$7,"")</f>
        <v>3.75495</v>
      </c>
      <c r="N21" s="21" t="n">
        <f aca="false">IFERROR(M21/L21,"")</f>
        <v>0.475310126582278</v>
      </c>
      <c r="O21" s="18" t="n">
        <f aca="false">IFERROR(L21*(1-Premissas!$B$8)-Premissas!$B$9-H21-Premissas!$B$7,"")</f>
        <v>-2.973</v>
      </c>
      <c r="P21" s="18" t="n">
        <f aca="false">IFERROR(L21*(1-Premissas!$B$10)-Premissas!$B$11-H21-Premissas!$B$7,"")</f>
        <v>-1.355</v>
      </c>
      <c r="Q21" s="18" t="n">
        <f aca="false">IFERROR(M21*F21,"")</f>
        <v>90.1188</v>
      </c>
      <c r="R21" s="22" t="n">
        <f aca="false">IFERROR(IF(M21&gt;0,ROUNDUP(Premissas!$B$12/M21,0),"sem lucro"),"")</f>
        <v>267</v>
      </c>
      <c r="S21" s="15" t="s">
        <v>109</v>
      </c>
      <c r="T21" s="23" t="s">
        <v>74</v>
      </c>
      <c r="U21" s="15"/>
      <c r="V21" s="18" t="n">
        <f aca="false">IF(AND(T21="S",ISNUMBER(L21),ISNUMBER(F21)),L21*F21,0)</f>
        <v>0</v>
      </c>
      <c r="W21" s="18" t="n">
        <f aca="false">IF(AND(T21="S",ISNUMBER(Q21)),Q21,0)</f>
        <v>0</v>
      </c>
    </row>
    <row r="22" customFormat="false" ht="15" hidden="false" customHeight="false" outlineLevel="0" collapsed="false">
      <c r="A22" s="14" t="s">
        <v>121</v>
      </c>
      <c r="B22" s="15" t="s">
        <v>122</v>
      </c>
      <c r="C22" s="14" t="s">
        <v>114</v>
      </c>
      <c r="D22" s="14" t="s">
        <v>123</v>
      </c>
      <c r="E22" s="14" t="n">
        <v>2</v>
      </c>
      <c r="F22" s="16" t="n">
        <v>24</v>
      </c>
      <c r="G22" s="17" t="n">
        <v>160.4</v>
      </c>
      <c r="H22" s="18" t="n">
        <f aca="false">IF(ISNUMBER(G22),IFERROR(G22/F22,""),"")</f>
        <v>6.68333333333333</v>
      </c>
      <c r="I22" s="17" t="n">
        <v>12.9</v>
      </c>
      <c r="J22" s="17" t="n">
        <v>12.9</v>
      </c>
      <c r="K22" s="19" t="s">
        <v>62</v>
      </c>
      <c r="L22" s="20" t="n">
        <v>12.9</v>
      </c>
      <c r="M22" s="18" t="n">
        <f aca="false">IFERROR(L22*(1-Premissas!$B$5)*(1-Premissas!$B$6)-H22-Premissas!$B$7,"")</f>
        <v>4.44911666666667</v>
      </c>
      <c r="N22" s="21" t="n">
        <f aca="false">IFERROR(M22/L22,"")</f>
        <v>0.344892764857881</v>
      </c>
      <c r="O22" s="18" t="n">
        <f aca="false">IFERROR(L22*(1-Premissas!$B$8)-Premissas!$B$9-H22-Premissas!$B$7,"")</f>
        <v>-2.58133333333333</v>
      </c>
      <c r="P22" s="18" t="n">
        <f aca="false">IFERROR(L22*(1-Premissas!$B$10)-Premissas!$B$11-H22-Premissas!$B$7,"")</f>
        <v>-1.36333333333333</v>
      </c>
      <c r="Q22" s="18" t="n">
        <f aca="false">IFERROR(M22*F22,"")</f>
        <v>106.7788</v>
      </c>
      <c r="R22" s="22" t="n">
        <f aca="false">IFERROR(IF(M22&gt;0,ROUNDUP(Premissas!$B$12/M22,0),"sem lucro"),"")</f>
        <v>225</v>
      </c>
      <c r="S22" s="15" t="s">
        <v>124</v>
      </c>
      <c r="T22" s="23" t="s">
        <v>64</v>
      </c>
      <c r="U22" s="15"/>
      <c r="V22" s="18" t="n">
        <f aca="false">IF(AND(T22="S",ISNUMBER(L22),ISNUMBER(F22)),L22*F22,0)</f>
        <v>309.6</v>
      </c>
      <c r="W22" s="18" t="n">
        <f aca="false">IF(AND(T22="S",ISNUMBER(Q22)),Q22,0)</f>
        <v>106.7788</v>
      </c>
    </row>
    <row r="23" customFormat="false" ht="26.85" hidden="false" customHeight="false" outlineLevel="0" collapsed="false">
      <c r="A23" s="14" t="s">
        <v>125</v>
      </c>
      <c r="B23" s="15" t="s">
        <v>126</v>
      </c>
      <c r="C23" s="14" t="s">
        <v>127</v>
      </c>
      <c r="D23" s="14" t="s">
        <v>123</v>
      </c>
      <c r="E23" s="14" t="n">
        <v>2</v>
      </c>
      <c r="F23" s="16" t="n">
        <v>10</v>
      </c>
      <c r="G23" s="17" t="n">
        <v>37.8</v>
      </c>
      <c r="H23" s="18" t="n">
        <f aca="false">IF(ISNUMBER(G23),IFERROR(G23/F23,""),"")</f>
        <v>3.78</v>
      </c>
      <c r="I23" s="17" t="n">
        <v>4.06</v>
      </c>
      <c r="J23" s="17" t="n">
        <v>10.99</v>
      </c>
      <c r="K23" s="14" t="s">
        <v>91</v>
      </c>
      <c r="L23" s="20" t="n">
        <v>9.9</v>
      </c>
      <c r="M23" s="18" t="n">
        <f aca="false">IFERROR(L23*(1-Premissas!$B$5)*(1-Premissas!$B$6)-H23-Premissas!$B$7,"")</f>
        <v>4.53095</v>
      </c>
      <c r="N23" s="21" t="n">
        <f aca="false">IFERROR(M23/L23,"")</f>
        <v>0.457671717171717</v>
      </c>
      <c r="O23" s="18" t="n">
        <f aca="false">IFERROR(L23*(1-Premissas!$B$8)-Premissas!$B$9-H23-Premissas!$B$7,"")</f>
        <v>-2.318</v>
      </c>
      <c r="P23" s="18" t="n">
        <f aca="false">IFERROR(L23*(1-Premissas!$B$10)-Premissas!$B$11-H23-Premissas!$B$7,"")</f>
        <v>-0.859999999999999</v>
      </c>
      <c r="Q23" s="18" t="n">
        <f aca="false">IFERROR(M23*F23,"")</f>
        <v>45.3095</v>
      </c>
      <c r="R23" s="22" t="n">
        <f aca="false">IFERROR(IF(M23&gt;0,ROUNDUP(Premissas!$B$12/M23,0),"sem lucro"),"")</f>
        <v>221</v>
      </c>
      <c r="S23" s="15" t="s">
        <v>63</v>
      </c>
      <c r="T23" s="23" t="s">
        <v>64</v>
      </c>
      <c r="U23" s="15" t="s">
        <v>128</v>
      </c>
      <c r="V23" s="18" t="n">
        <f aca="false">IF(AND(T23="S",ISNUMBER(L23),ISNUMBER(F23)),L23*F23,0)</f>
        <v>99</v>
      </c>
      <c r="W23" s="18" t="n">
        <f aca="false">IF(AND(T23="S",ISNUMBER(Q23)),Q23,0)</f>
        <v>45.3095</v>
      </c>
    </row>
    <row r="24" customFormat="false" ht="15" hidden="false" customHeight="false" outlineLevel="0" collapsed="false">
      <c r="A24" s="14" t="s">
        <v>129</v>
      </c>
      <c r="B24" s="15" t="s">
        <v>130</v>
      </c>
      <c r="C24" s="14" t="s">
        <v>131</v>
      </c>
      <c r="D24" s="14" t="s">
        <v>90</v>
      </c>
      <c r="E24" s="14" t="n">
        <v>2</v>
      </c>
      <c r="F24" s="16" t="n">
        <v>1</v>
      </c>
      <c r="G24" s="17" t="n">
        <v>6.3</v>
      </c>
      <c r="H24" s="18" t="n">
        <f aca="false">IF(ISNUMBER(G24),IFERROR(G24/F24,""),"")</f>
        <v>6.3</v>
      </c>
      <c r="I24" s="17" t="n">
        <v>15</v>
      </c>
      <c r="J24" s="17" t="n">
        <v>20</v>
      </c>
      <c r="K24" s="19" t="s">
        <v>62</v>
      </c>
      <c r="L24" s="20" t="n">
        <v>16.9</v>
      </c>
      <c r="M24" s="18" t="n">
        <f aca="false">IFERROR(L24*(1-Premissas!$B$5)*(1-Premissas!$B$6)-H24-Premissas!$B$7,"")</f>
        <v>8.59445</v>
      </c>
      <c r="N24" s="21" t="n">
        <f aca="false">IFERROR(M24/L24,"")</f>
        <v>0.508547337278106</v>
      </c>
      <c r="O24" s="18" t="n">
        <f aca="false">IFERROR(L24*(1-Premissas!$B$8)-Premissas!$B$9-H24-Premissas!$B$7,"")</f>
        <v>1.322</v>
      </c>
      <c r="P24" s="18" t="n">
        <f aca="false">IFERROR(L24*(1-Premissas!$B$10)-Premissas!$B$11-H24-Premissas!$B$7,"")</f>
        <v>2.22</v>
      </c>
      <c r="Q24" s="18" t="n">
        <f aca="false">IFERROR(M24*F24,"")</f>
        <v>8.59445</v>
      </c>
      <c r="R24" s="22" t="n">
        <f aca="false">IFERROR(IF(M24&gt;0,ROUNDUP(Premissas!$B$12/M24,0),"sem lucro"),"")</f>
        <v>117</v>
      </c>
      <c r="S24" s="15" t="s">
        <v>132</v>
      </c>
      <c r="T24" s="23" t="s">
        <v>64</v>
      </c>
      <c r="U24" s="15"/>
      <c r="V24" s="18" t="n">
        <f aca="false">IF(AND(T24="S",ISNUMBER(L24),ISNUMBER(F24)),L24*F24,0)</f>
        <v>16.9</v>
      </c>
      <c r="W24" s="18" t="n">
        <f aca="false">IF(AND(T24="S",ISNUMBER(Q24)),Q24,0)</f>
        <v>8.59445</v>
      </c>
    </row>
    <row r="25" customFormat="false" ht="15" hidden="false" customHeight="false" outlineLevel="0" collapsed="false">
      <c r="A25" s="14" t="s">
        <v>133</v>
      </c>
      <c r="B25" s="15" t="s">
        <v>134</v>
      </c>
      <c r="C25" s="14" t="s">
        <v>131</v>
      </c>
      <c r="D25" s="14" t="s">
        <v>90</v>
      </c>
      <c r="E25" s="14" t="n">
        <v>2</v>
      </c>
      <c r="F25" s="16" t="n">
        <v>1</v>
      </c>
      <c r="G25" s="17" t="n">
        <v>6.3</v>
      </c>
      <c r="H25" s="18" t="n">
        <f aca="false">IF(ISNUMBER(G25),IFERROR(G25/F25,""),"")</f>
        <v>6.3</v>
      </c>
      <c r="I25" s="17" t="n">
        <v>15</v>
      </c>
      <c r="J25" s="17" t="n">
        <v>20</v>
      </c>
      <c r="K25" s="19" t="s">
        <v>62</v>
      </c>
      <c r="L25" s="20" t="n">
        <v>16.9</v>
      </c>
      <c r="M25" s="18" t="n">
        <f aca="false">IFERROR(L25*(1-Premissas!$B$5)*(1-Premissas!$B$6)-H25-Premissas!$B$7,"")</f>
        <v>8.59445</v>
      </c>
      <c r="N25" s="21" t="n">
        <f aca="false">IFERROR(M25/L25,"")</f>
        <v>0.508547337278106</v>
      </c>
      <c r="O25" s="18" t="n">
        <f aca="false">IFERROR(L25*(1-Premissas!$B$8)-Premissas!$B$9-H25-Premissas!$B$7,"")</f>
        <v>1.322</v>
      </c>
      <c r="P25" s="18" t="n">
        <f aca="false">IFERROR(L25*(1-Premissas!$B$10)-Premissas!$B$11-H25-Premissas!$B$7,"")</f>
        <v>2.22</v>
      </c>
      <c r="Q25" s="18" t="n">
        <f aca="false">IFERROR(M25*F25,"")</f>
        <v>8.59445</v>
      </c>
      <c r="R25" s="22" t="n">
        <f aca="false">IFERROR(IF(M25&gt;0,ROUNDUP(Premissas!$B$12/M25,0),"sem lucro"),"")</f>
        <v>117</v>
      </c>
      <c r="S25" s="15" t="s">
        <v>132</v>
      </c>
      <c r="T25" s="23" t="s">
        <v>64</v>
      </c>
      <c r="U25" s="15"/>
      <c r="V25" s="18" t="n">
        <f aca="false">IF(AND(T25="S",ISNUMBER(L25),ISNUMBER(F25)),L25*F25,0)</f>
        <v>16.9</v>
      </c>
      <c r="W25" s="18" t="n">
        <f aca="false">IF(AND(T25="S",ISNUMBER(Q25)),Q25,0)</f>
        <v>8.59445</v>
      </c>
    </row>
    <row r="26" customFormat="false" ht="15" hidden="false" customHeight="false" outlineLevel="0" collapsed="false">
      <c r="A26" s="14" t="s">
        <v>135</v>
      </c>
      <c r="B26" s="15" t="s">
        <v>136</v>
      </c>
      <c r="C26" s="14" t="s">
        <v>131</v>
      </c>
      <c r="D26" s="14" t="s">
        <v>90</v>
      </c>
      <c r="E26" s="14" t="n">
        <v>2</v>
      </c>
      <c r="F26" s="16" t="n">
        <v>1</v>
      </c>
      <c r="G26" s="17" t="n">
        <v>6.3</v>
      </c>
      <c r="H26" s="18" t="n">
        <f aca="false">IF(ISNUMBER(G26),IFERROR(G26/F26,""),"")</f>
        <v>6.3</v>
      </c>
      <c r="I26" s="17" t="n">
        <v>15</v>
      </c>
      <c r="J26" s="17" t="n">
        <v>20</v>
      </c>
      <c r="K26" s="19" t="s">
        <v>62</v>
      </c>
      <c r="L26" s="20" t="n">
        <v>16.9</v>
      </c>
      <c r="M26" s="18" t="n">
        <f aca="false">IFERROR(L26*(1-Premissas!$B$5)*(1-Premissas!$B$6)-H26-Premissas!$B$7,"")</f>
        <v>8.59445</v>
      </c>
      <c r="N26" s="21" t="n">
        <f aca="false">IFERROR(M26/L26,"")</f>
        <v>0.508547337278106</v>
      </c>
      <c r="O26" s="18" t="n">
        <f aca="false">IFERROR(L26*(1-Premissas!$B$8)-Premissas!$B$9-H26-Premissas!$B$7,"")</f>
        <v>1.322</v>
      </c>
      <c r="P26" s="18" t="n">
        <f aca="false">IFERROR(L26*(1-Premissas!$B$10)-Premissas!$B$11-H26-Premissas!$B$7,"")</f>
        <v>2.22</v>
      </c>
      <c r="Q26" s="18" t="n">
        <f aca="false">IFERROR(M26*F26,"")</f>
        <v>8.59445</v>
      </c>
      <c r="R26" s="22" t="n">
        <f aca="false">IFERROR(IF(M26&gt;0,ROUNDUP(Premissas!$B$12/M26,0),"sem lucro"),"")</f>
        <v>117</v>
      </c>
      <c r="S26" s="15" t="s">
        <v>132</v>
      </c>
      <c r="T26" s="23" t="s">
        <v>64</v>
      </c>
      <c r="U26" s="15"/>
      <c r="V26" s="18" t="n">
        <f aca="false">IF(AND(T26="S",ISNUMBER(L26),ISNUMBER(F26)),L26*F26,0)</f>
        <v>16.9</v>
      </c>
      <c r="W26" s="18" t="n">
        <f aca="false">IF(AND(T26="S",ISNUMBER(Q26)),Q26,0)</f>
        <v>8.59445</v>
      </c>
    </row>
    <row r="27" customFormat="false" ht="15" hidden="false" customHeight="false" outlineLevel="0" collapsed="false">
      <c r="A27" s="14" t="s">
        <v>137</v>
      </c>
      <c r="B27" s="15" t="s">
        <v>138</v>
      </c>
      <c r="C27" s="14" t="s">
        <v>131</v>
      </c>
      <c r="D27" s="14" t="s">
        <v>139</v>
      </c>
      <c r="E27" s="14" t="n">
        <v>2</v>
      </c>
      <c r="F27" s="16" t="n">
        <v>1</v>
      </c>
      <c r="G27" s="17" t="n">
        <v>6.9</v>
      </c>
      <c r="H27" s="18" t="n">
        <f aca="false">IF(ISNUMBER(G27),IFERROR(G27/F27,""),"")</f>
        <v>6.9</v>
      </c>
      <c r="I27" s="17" t="n">
        <v>20</v>
      </c>
      <c r="J27" s="17" t="n">
        <v>30</v>
      </c>
      <c r="K27" s="19" t="s">
        <v>62</v>
      </c>
      <c r="L27" s="20" t="n">
        <v>19.9</v>
      </c>
      <c r="M27" s="18" t="n">
        <f aca="false">IFERROR(L27*(1-Premissas!$B$5)*(1-Premissas!$B$6)-H27-Premissas!$B$7,"")</f>
        <v>10.81595</v>
      </c>
      <c r="N27" s="21" t="n">
        <f aca="false">IFERROR(M27/L27,"")</f>
        <v>0.543515075376884</v>
      </c>
      <c r="O27" s="18" t="n">
        <f aca="false">IFERROR(L27*(1-Premissas!$B$8)-Premissas!$B$9-H27-Premissas!$B$7,"")</f>
        <v>3.362</v>
      </c>
      <c r="P27" s="18" t="n">
        <f aca="false">IFERROR(L27*(1-Premissas!$B$10)-Premissas!$B$11-H27-Premissas!$B$7,"")</f>
        <v>4.02</v>
      </c>
      <c r="Q27" s="18" t="n">
        <f aca="false">IFERROR(M27*F27,"")</f>
        <v>10.81595</v>
      </c>
      <c r="R27" s="22" t="n">
        <f aca="false">IFERROR(IF(M27&gt;0,ROUNDUP(Premissas!$B$12/M27,0),"sem lucro"),"")</f>
        <v>93</v>
      </c>
      <c r="S27" s="15" t="s">
        <v>63</v>
      </c>
      <c r="T27" s="23" t="s">
        <v>64</v>
      </c>
      <c r="U27" s="15" t="s">
        <v>140</v>
      </c>
      <c r="V27" s="18" t="n">
        <f aca="false">IF(AND(T27="S",ISNUMBER(L27),ISNUMBER(F27)),L27*F27,0)</f>
        <v>19.9</v>
      </c>
      <c r="W27" s="18" t="n">
        <f aca="false">IF(AND(T27="S",ISNUMBER(Q27)),Q27,0)</f>
        <v>10.81595</v>
      </c>
    </row>
    <row r="28" customFormat="false" ht="15" hidden="false" customHeight="false" outlineLevel="0" collapsed="false">
      <c r="A28" s="14" t="s">
        <v>141</v>
      </c>
      <c r="B28" s="15" t="s">
        <v>142</v>
      </c>
      <c r="C28" s="14" t="s">
        <v>143</v>
      </c>
      <c r="D28" s="14" t="s">
        <v>115</v>
      </c>
      <c r="E28" s="14" t="n">
        <v>2</v>
      </c>
      <c r="F28" s="16" t="n">
        <v>24</v>
      </c>
      <c r="G28" s="17" t="n">
        <v>165.3</v>
      </c>
      <c r="H28" s="18" t="n">
        <f aca="false">IF(ISNUMBER(G28),IFERROR(G28/F28,""),"")</f>
        <v>6.8875</v>
      </c>
      <c r="I28" s="17" t="n">
        <v>14.9</v>
      </c>
      <c r="J28" s="17" t="n">
        <v>14.9</v>
      </c>
      <c r="K28" s="19" t="s">
        <v>62</v>
      </c>
      <c r="L28" s="20" t="n">
        <v>14.9</v>
      </c>
      <c r="M28" s="18" t="n">
        <f aca="false">IFERROR(L28*(1-Premissas!$B$5)*(1-Premissas!$B$6)-H28-Premissas!$B$7,"")</f>
        <v>6.12595</v>
      </c>
      <c r="N28" s="21" t="n">
        <f aca="false">IFERROR(M28/L28,"")</f>
        <v>0.411137583892617</v>
      </c>
      <c r="O28" s="18" t="n">
        <f aca="false">IFERROR(L28*(1-Premissas!$B$8)-Premissas!$B$9-H28-Premissas!$B$7,"")</f>
        <v>-1.0255</v>
      </c>
      <c r="P28" s="18" t="n">
        <f aca="false">IFERROR(L28*(1-Premissas!$B$10)-Premissas!$B$11-H28-Premissas!$B$7,"")</f>
        <v>0.0325000000000015</v>
      </c>
      <c r="Q28" s="18" t="n">
        <f aca="false">IFERROR(M28*F28,"")</f>
        <v>147.0228</v>
      </c>
      <c r="R28" s="22" t="n">
        <f aca="false">IFERROR(IF(M28&gt;0,ROUNDUP(Premissas!$B$12/M28,0),"sem lucro"),"")</f>
        <v>164</v>
      </c>
      <c r="S28" s="15" t="s">
        <v>80</v>
      </c>
      <c r="T28" s="23" t="s">
        <v>74</v>
      </c>
      <c r="U28" s="15"/>
      <c r="V28" s="18" t="n">
        <f aca="false">IF(AND(T28="S",ISNUMBER(L28),ISNUMBER(F28)),L28*F28,0)</f>
        <v>0</v>
      </c>
      <c r="W28" s="18" t="n">
        <f aca="false">IF(AND(T28="S",ISNUMBER(Q28)),Q28,0)</f>
        <v>0</v>
      </c>
    </row>
    <row r="29" customFormat="false" ht="15" hidden="false" customHeight="false" outlineLevel="0" collapsed="false">
      <c r="A29" s="14" t="s">
        <v>144</v>
      </c>
      <c r="B29" s="15" t="s">
        <v>145</v>
      </c>
      <c r="C29" s="14" t="s">
        <v>146</v>
      </c>
      <c r="D29" s="14" t="s">
        <v>115</v>
      </c>
      <c r="E29" s="14" t="n">
        <v>2</v>
      </c>
      <c r="F29" s="16" t="n">
        <v>24</v>
      </c>
      <c r="G29" s="17" t="n">
        <v>95.6</v>
      </c>
      <c r="H29" s="18" t="n">
        <f aca="false">IF(ISNUMBER(G29),IFERROR(G29/F29,""),"")</f>
        <v>3.98333333333333</v>
      </c>
      <c r="I29" s="17" t="n">
        <v>7.39</v>
      </c>
      <c r="J29" s="17" t="n">
        <v>7.39</v>
      </c>
      <c r="K29" s="14" t="s">
        <v>91</v>
      </c>
      <c r="L29" s="20" t="n">
        <v>9.9</v>
      </c>
      <c r="M29" s="18" t="n">
        <f aca="false">IFERROR(L29*(1-Premissas!$B$5)*(1-Premissas!$B$6)-H29-Premissas!$B$7,"")</f>
        <v>4.32761666666667</v>
      </c>
      <c r="N29" s="21" t="n">
        <f aca="false">IFERROR(M29/L29,"")</f>
        <v>0.437132996632997</v>
      </c>
      <c r="O29" s="18" t="n">
        <f aca="false">IFERROR(L29*(1-Premissas!$B$8)-Premissas!$B$9-H29-Premissas!$B$7,"")</f>
        <v>-2.52133333333333</v>
      </c>
      <c r="P29" s="18" t="n">
        <f aca="false">IFERROR(L29*(1-Premissas!$B$10)-Premissas!$B$11-H29-Premissas!$B$7,"")</f>
        <v>-1.06333333333333</v>
      </c>
      <c r="Q29" s="18" t="n">
        <f aca="false">IFERROR(M29*F29,"")</f>
        <v>103.8628</v>
      </c>
      <c r="R29" s="22" t="n">
        <f aca="false">IFERROR(IF(M29&gt;0,ROUNDUP(Premissas!$B$12/M29,0),"sem lucro"),"")</f>
        <v>232</v>
      </c>
      <c r="S29" s="15" t="s">
        <v>80</v>
      </c>
      <c r="T29" s="23" t="s">
        <v>74</v>
      </c>
      <c r="U29" s="15"/>
      <c r="V29" s="18" t="n">
        <f aca="false">IF(AND(T29="S",ISNUMBER(L29),ISNUMBER(F29)),L29*F29,0)</f>
        <v>0</v>
      </c>
      <c r="W29" s="18" t="n">
        <f aca="false">IF(AND(T29="S",ISNUMBER(Q29)),Q29,0)</f>
        <v>0</v>
      </c>
    </row>
    <row r="30" customFormat="false" ht="15" hidden="false" customHeight="false" outlineLevel="0" collapsed="false">
      <c r="A30" s="14" t="s">
        <v>147</v>
      </c>
      <c r="B30" s="15" t="s">
        <v>148</v>
      </c>
      <c r="C30" s="14" t="s">
        <v>146</v>
      </c>
      <c r="D30" s="14" t="s">
        <v>115</v>
      </c>
      <c r="E30" s="14" t="n">
        <v>2</v>
      </c>
      <c r="F30" s="16" t="n">
        <v>24</v>
      </c>
      <c r="G30" s="17" t="n">
        <v>147.5</v>
      </c>
      <c r="H30" s="18" t="n">
        <f aca="false">IF(ISNUMBER(G30),IFERROR(G30/F30,""),"")</f>
        <v>6.14583333333333</v>
      </c>
      <c r="I30" s="17" t="n">
        <v>12.9</v>
      </c>
      <c r="J30" s="17" t="n">
        <v>12.9</v>
      </c>
      <c r="K30" s="19" t="s">
        <v>62</v>
      </c>
      <c r="L30" s="20" t="n">
        <v>12.9</v>
      </c>
      <c r="M30" s="18" t="n">
        <f aca="false">IFERROR(L30*(1-Premissas!$B$5)*(1-Premissas!$B$6)-H30-Premissas!$B$7,"")</f>
        <v>4.98661666666667</v>
      </c>
      <c r="N30" s="21" t="n">
        <f aca="false">IFERROR(M30/L30,"")</f>
        <v>0.386559431524548</v>
      </c>
      <c r="O30" s="18" t="n">
        <f aca="false">IFERROR(L30*(1-Premissas!$B$8)-Premissas!$B$9-H30-Premissas!$B$7,"")</f>
        <v>-2.04383333333333</v>
      </c>
      <c r="P30" s="18" t="n">
        <f aca="false">IFERROR(L30*(1-Premissas!$B$10)-Premissas!$B$11-H30-Premissas!$B$7,"")</f>
        <v>-0.825833333333333</v>
      </c>
      <c r="Q30" s="18" t="n">
        <f aca="false">IFERROR(M30*F30,"")</f>
        <v>119.6788</v>
      </c>
      <c r="R30" s="22" t="n">
        <f aca="false">IFERROR(IF(M30&gt;0,ROUNDUP(Premissas!$B$12/M30,0),"sem lucro"),"")</f>
        <v>201</v>
      </c>
      <c r="S30" s="15" t="s">
        <v>118</v>
      </c>
      <c r="T30" s="23" t="s">
        <v>74</v>
      </c>
      <c r="U30" s="15"/>
      <c r="V30" s="18" t="n">
        <f aca="false">IF(AND(T30="S",ISNUMBER(L30),ISNUMBER(F30)),L30*F30,0)</f>
        <v>0</v>
      </c>
      <c r="W30" s="18" t="n">
        <f aca="false">IF(AND(T30="S",ISNUMBER(Q30)),Q30,0)</f>
        <v>0</v>
      </c>
    </row>
    <row r="31" customFormat="false" ht="15" hidden="false" customHeight="false" outlineLevel="0" collapsed="false">
      <c r="A31" s="14" t="s">
        <v>149</v>
      </c>
      <c r="B31" s="15" t="s">
        <v>150</v>
      </c>
      <c r="C31" s="14" t="s">
        <v>151</v>
      </c>
      <c r="D31" s="14" t="s">
        <v>61</v>
      </c>
      <c r="E31" s="14" t="n">
        <v>2</v>
      </c>
      <c r="F31" s="16" t="n">
        <v>24</v>
      </c>
      <c r="G31" s="17" t="n">
        <v>113.3</v>
      </c>
      <c r="H31" s="18" t="n">
        <f aca="false">IF(ISNUMBER(G31),IFERROR(G31/F31,""),"")</f>
        <v>4.72083333333333</v>
      </c>
      <c r="I31" s="17" t="n">
        <v>12.9</v>
      </c>
      <c r="J31" s="17" t="n">
        <v>12.9</v>
      </c>
      <c r="K31" s="19" t="s">
        <v>62</v>
      </c>
      <c r="L31" s="20" t="n">
        <v>12.9</v>
      </c>
      <c r="M31" s="18" t="n">
        <f aca="false">IFERROR(L31*(1-Premissas!$B$5)*(1-Premissas!$B$6)-H31-Premissas!$B$7,"")</f>
        <v>6.41161666666667</v>
      </c>
      <c r="N31" s="21" t="n">
        <f aca="false">IFERROR(M31/L31,"")</f>
        <v>0.497024547803617</v>
      </c>
      <c r="O31" s="18" t="n">
        <f aca="false">IFERROR(L31*(1-Premissas!$B$8)-Premissas!$B$9-H31-Premissas!$B$7,"")</f>
        <v>-0.618833333333333</v>
      </c>
      <c r="P31" s="18" t="n">
        <f aca="false">IFERROR(L31*(1-Premissas!$B$10)-Premissas!$B$11-H31-Premissas!$B$7,"")</f>
        <v>0.599166666666667</v>
      </c>
      <c r="Q31" s="18" t="n">
        <f aca="false">IFERROR(M31*F31,"")</f>
        <v>153.8788</v>
      </c>
      <c r="R31" s="22" t="n">
        <f aca="false">IFERROR(IF(M31&gt;0,ROUNDUP(Premissas!$B$12/M31,0),"sem lucro"),"")</f>
        <v>156</v>
      </c>
      <c r="S31" s="15" t="s">
        <v>80</v>
      </c>
      <c r="T31" s="23" t="s">
        <v>74</v>
      </c>
      <c r="U31" s="15"/>
      <c r="V31" s="18" t="n">
        <f aca="false">IF(AND(T31="S",ISNUMBER(L31),ISNUMBER(F31)),L31*F31,0)</f>
        <v>0</v>
      </c>
      <c r="W31" s="18" t="n">
        <f aca="false">IF(AND(T31="S",ISNUMBER(Q31)),Q31,0)</f>
        <v>0</v>
      </c>
    </row>
    <row r="32" customFormat="false" ht="15" hidden="false" customHeight="false" outlineLevel="0" collapsed="false">
      <c r="A32" s="14" t="s">
        <v>152</v>
      </c>
      <c r="B32" s="15" t="s">
        <v>153</v>
      </c>
      <c r="C32" s="14" t="s">
        <v>154</v>
      </c>
      <c r="D32" s="14" t="s">
        <v>155</v>
      </c>
      <c r="E32" s="14" t="n">
        <v>2</v>
      </c>
      <c r="F32" s="16" t="n">
        <v>24</v>
      </c>
      <c r="G32" s="17" t="n">
        <v>110.8</v>
      </c>
      <c r="H32" s="18" t="n">
        <f aca="false">IF(ISNUMBER(G32),IFERROR(G32/F32,""),"")</f>
        <v>4.61666666666667</v>
      </c>
      <c r="I32" s="17" t="n">
        <v>12</v>
      </c>
      <c r="J32" s="17" t="n">
        <v>15</v>
      </c>
      <c r="K32" s="19" t="s">
        <v>62</v>
      </c>
      <c r="L32" s="20" t="n">
        <v>12.9</v>
      </c>
      <c r="M32" s="18" t="n">
        <f aca="false">IFERROR(L32*(1-Premissas!$B$5)*(1-Premissas!$B$6)-H32-Premissas!$B$7,"")</f>
        <v>6.51578333333333</v>
      </c>
      <c r="N32" s="21" t="n">
        <f aca="false">IFERROR(M32/L32,"")</f>
        <v>0.505099483204134</v>
      </c>
      <c r="O32" s="18" t="n">
        <f aca="false">IFERROR(L32*(1-Premissas!$B$8)-Premissas!$B$9-H32-Premissas!$B$7,"")</f>
        <v>-0.514666666666666</v>
      </c>
      <c r="P32" s="18" t="n">
        <f aca="false">IFERROR(L32*(1-Premissas!$B$10)-Premissas!$B$11-H32-Premissas!$B$7,"")</f>
        <v>0.703333333333334</v>
      </c>
      <c r="Q32" s="18" t="n">
        <f aca="false">IFERROR(M32*F32,"")</f>
        <v>156.3788</v>
      </c>
      <c r="R32" s="22" t="n">
        <f aca="false">IFERROR(IF(M32&gt;0,ROUNDUP(Premissas!$B$12/M32,0),"sem lucro"),"")</f>
        <v>154</v>
      </c>
      <c r="S32" s="15" t="s">
        <v>156</v>
      </c>
      <c r="T32" s="23" t="s">
        <v>64</v>
      </c>
      <c r="U32" s="15"/>
      <c r="V32" s="18" t="n">
        <f aca="false">IF(AND(T32="S",ISNUMBER(L32),ISNUMBER(F32)),L32*F32,0)</f>
        <v>309.6</v>
      </c>
      <c r="W32" s="18" t="n">
        <f aca="false">IF(AND(T32="S",ISNUMBER(Q32)),Q32,0)</f>
        <v>156.3788</v>
      </c>
    </row>
    <row r="33" customFormat="false" ht="15" hidden="false" customHeight="false" outlineLevel="0" collapsed="false">
      <c r="A33" s="14" t="s">
        <v>157</v>
      </c>
      <c r="B33" s="15" t="s">
        <v>158</v>
      </c>
      <c r="C33" s="14" t="s">
        <v>154</v>
      </c>
      <c r="D33" s="14" t="s">
        <v>61</v>
      </c>
      <c r="E33" s="14" t="n">
        <v>2</v>
      </c>
      <c r="F33" s="16" t="n">
        <v>24</v>
      </c>
      <c r="G33" s="17" t="n">
        <v>151.7</v>
      </c>
      <c r="H33" s="18" t="n">
        <f aca="false">IF(ISNUMBER(G33),IFERROR(G33/F33,""),"")</f>
        <v>6.32083333333333</v>
      </c>
      <c r="I33" s="17" t="n">
        <v>15.9</v>
      </c>
      <c r="J33" s="17" t="n">
        <v>15.9</v>
      </c>
      <c r="K33" s="19" t="s">
        <v>62</v>
      </c>
      <c r="L33" s="20" t="n">
        <v>15.9</v>
      </c>
      <c r="M33" s="18" t="n">
        <f aca="false">IFERROR(L33*(1-Premissas!$B$5)*(1-Premissas!$B$6)-H33-Premissas!$B$7,"")</f>
        <v>7.63311666666667</v>
      </c>
      <c r="N33" s="21" t="n">
        <f aca="false">IFERROR(M33/L33,"")</f>
        <v>0.480070230607967</v>
      </c>
      <c r="O33" s="18" t="n">
        <f aca="false">IFERROR(L33*(1-Premissas!$B$8)-Premissas!$B$9-H33-Premissas!$B$7,"")</f>
        <v>0.421166666666668</v>
      </c>
      <c r="P33" s="18" t="n">
        <f aca="false">IFERROR(L33*(1-Premissas!$B$10)-Premissas!$B$11-H33-Premissas!$B$7,"")</f>
        <v>1.39916666666667</v>
      </c>
      <c r="Q33" s="18" t="n">
        <f aca="false">IFERROR(M33*F33,"")</f>
        <v>183.1948</v>
      </c>
      <c r="R33" s="22" t="n">
        <f aca="false">IFERROR(IF(M33&gt;0,ROUNDUP(Premissas!$B$12/M33,0),"sem lucro"),"")</f>
        <v>132</v>
      </c>
      <c r="S33" s="15" t="s">
        <v>63</v>
      </c>
      <c r="T33" s="23" t="s">
        <v>64</v>
      </c>
      <c r="U33" s="15"/>
      <c r="V33" s="18" t="n">
        <f aca="false">IF(AND(T33="S",ISNUMBER(L33),ISNUMBER(F33)),L33*F33,0)</f>
        <v>381.6</v>
      </c>
      <c r="W33" s="18" t="n">
        <f aca="false">IF(AND(T33="S",ISNUMBER(Q33)),Q33,0)</f>
        <v>183.1948</v>
      </c>
    </row>
    <row r="34" customFormat="false" ht="15" hidden="false" customHeight="false" outlineLevel="0" collapsed="false">
      <c r="A34" s="14" t="s">
        <v>159</v>
      </c>
      <c r="B34" s="15" t="s">
        <v>160</v>
      </c>
      <c r="C34" s="14" t="s">
        <v>154</v>
      </c>
      <c r="D34" s="14" t="s">
        <v>115</v>
      </c>
      <c r="E34" s="14" t="n">
        <v>3</v>
      </c>
      <c r="F34" s="16" t="n">
        <v>24</v>
      </c>
      <c r="G34" s="17" t="n">
        <v>131.3</v>
      </c>
      <c r="H34" s="18" t="n">
        <f aca="false">IF(ISNUMBER(G34),IFERROR(G34/F34,""),"")</f>
        <v>5.47083333333333</v>
      </c>
      <c r="I34" s="17" t="n">
        <v>12.9</v>
      </c>
      <c r="J34" s="17" t="n">
        <v>12.9</v>
      </c>
      <c r="K34" s="19" t="s">
        <v>62</v>
      </c>
      <c r="L34" s="20" t="n">
        <v>12.9</v>
      </c>
      <c r="M34" s="18" t="n">
        <f aca="false">IFERROR(L34*(1-Premissas!$B$5)*(1-Premissas!$B$6)-H34-Premissas!$B$7,"")</f>
        <v>5.66161666666666</v>
      </c>
      <c r="N34" s="21" t="n">
        <f aca="false">IFERROR(M34/L34,"")</f>
        <v>0.438885012919896</v>
      </c>
      <c r="O34" s="18" t="n">
        <f aca="false">IFERROR(L34*(1-Premissas!$B$8)-Premissas!$B$9-H34-Premissas!$B$7,"")</f>
        <v>-1.36883333333333</v>
      </c>
      <c r="P34" s="18" t="n">
        <f aca="false">IFERROR(L34*(1-Premissas!$B$10)-Premissas!$B$11-H34-Premissas!$B$7,"")</f>
        <v>-0.150833333333334</v>
      </c>
      <c r="Q34" s="18" t="n">
        <f aca="false">IFERROR(M34*F34,"")</f>
        <v>135.8788</v>
      </c>
      <c r="R34" s="22" t="n">
        <f aca="false">IFERROR(IF(M34&gt;0,ROUNDUP(Premissas!$B$12/M34,0),"sem lucro"),"")</f>
        <v>177</v>
      </c>
      <c r="S34" s="15" t="s">
        <v>161</v>
      </c>
      <c r="T34" s="23" t="s">
        <v>64</v>
      </c>
      <c r="U34" s="15" t="s">
        <v>162</v>
      </c>
      <c r="V34" s="18" t="n">
        <f aca="false">IF(AND(T34="S",ISNUMBER(L34),ISNUMBER(F34)),L34*F34,0)</f>
        <v>309.6</v>
      </c>
      <c r="W34" s="18" t="n">
        <f aca="false">IF(AND(T34="S",ISNUMBER(Q34)),Q34,0)</f>
        <v>135.8788</v>
      </c>
    </row>
    <row r="35" customFormat="false" ht="15" hidden="false" customHeight="false" outlineLevel="0" collapsed="false">
      <c r="A35" s="14" t="s">
        <v>163</v>
      </c>
      <c r="B35" s="15" t="s">
        <v>164</v>
      </c>
      <c r="C35" s="14" t="s">
        <v>165</v>
      </c>
      <c r="D35" s="14" t="s">
        <v>166</v>
      </c>
      <c r="E35" s="14" t="n">
        <v>3</v>
      </c>
      <c r="F35" s="16" t="n">
        <v>1</v>
      </c>
      <c r="G35" s="17" t="n">
        <v>6.5</v>
      </c>
      <c r="H35" s="18" t="n">
        <f aca="false">IF(ISNUMBER(G35),IFERROR(G35/F35,""),"")</f>
        <v>6.5</v>
      </c>
      <c r="I35" s="17" t="n">
        <v>15</v>
      </c>
      <c r="J35" s="17" t="n">
        <v>20</v>
      </c>
      <c r="K35" s="19" t="s">
        <v>62</v>
      </c>
      <c r="L35" s="20" t="n">
        <v>16.9</v>
      </c>
      <c r="M35" s="18" t="n">
        <f aca="false">IFERROR(L35*(1-Premissas!$B$5)*(1-Premissas!$B$6)-H35-Premissas!$B$7,"")</f>
        <v>8.39445</v>
      </c>
      <c r="N35" s="21" t="n">
        <f aca="false">IFERROR(M35/L35,"")</f>
        <v>0.496713017751479</v>
      </c>
      <c r="O35" s="18" t="n">
        <f aca="false">IFERROR(L35*(1-Premissas!$B$8)-Premissas!$B$9-H35-Premissas!$B$7,"")</f>
        <v>1.122</v>
      </c>
      <c r="P35" s="18" t="n">
        <f aca="false">IFERROR(L35*(1-Premissas!$B$10)-Premissas!$B$11-H35-Premissas!$B$7,"")</f>
        <v>2.02</v>
      </c>
      <c r="Q35" s="18" t="n">
        <f aca="false">IFERROR(M35*F35,"")</f>
        <v>8.39445</v>
      </c>
      <c r="R35" s="22" t="n">
        <f aca="false">IFERROR(IF(M35&gt;0,ROUNDUP(Premissas!$B$12/M35,0),"sem lucro"),"")</f>
        <v>120</v>
      </c>
      <c r="S35" s="15" t="s">
        <v>63</v>
      </c>
      <c r="T35" s="23" t="s">
        <v>64</v>
      </c>
      <c r="U35" s="15"/>
      <c r="V35" s="18" t="n">
        <f aca="false">IF(AND(T35="S",ISNUMBER(L35),ISNUMBER(F35)),L35*F35,0)</f>
        <v>16.9</v>
      </c>
      <c r="W35" s="18" t="n">
        <f aca="false">IF(AND(T35="S",ISNUMBER(Q35)),Q35,0)</f>
        <v>8.39445</v>
      </c>
    </row>
    <row r="36" customFormat="false" ht="15" hidden="false" customHeight="false" outlineLevel="0" collapsed="false">
      <c r="A36" s="14" t="s">
        <v>167</v>
      </c>
      <c r="B36" s="15" t="s">
        <v>168</v>
      </c>
      <c r="C36" s="14" t="s">
        <v>169</v>
      </c>
      <c r="D36" s="14" t="s">
        <v>106</v>
      </c>
      <c r="E36" s="14" t="n">
        <v>3</v>
      </c>
      <c r="F36" s="16" t="n">
        <v>1</v>
      </c>
      <c r="G36" s="17" t="n">
        <v>3.2</v>
      </c>
      <c r="H36" s="18" t="n">
        <f aca="false">IF(ISNUMBER(G36),IFERROR(G36/F36,""),"")</f>
        <v>3.2</v>
      </c>
      <c r="I36" s="17" t="n">
        <v>9.9</v>
      </c>
      <c r="J36" s="17" t="n">
        <v>9.9</v>
      </c>
      <c r="K36" s="19" t="s">
        <v>62</v>
      </c>
      <c r="L36" s="20" t="n">
        <v>9.9</v>
      </c>
      <c r="M36" s="18" t="n">
        <f aca="false">IFERROR(L36*(1-Premissas!$B$5)*(1-Premissas!$B$6)-H36-Premissas!$B$7,"")</f>
        <v>5.11095</v>
      </c>
      <c r="N36" s="21" t="n">
        <f aca="false">IFERROR(M36/L36,"")</f>
        <v>0.516257575757576</v>
      </c>
      <c r="O36" s="18" t="n">
        <f aca="false">IFERROR(L36*(1-Premissas!$B$8)-Premissas!$B$9-H36-Premissas!$B$7,"")</f>
        <v>-1.738</v>
      </c>
      <c r="P36" s="18" t="n">
        <f aca="false">IFERROR(L36*(1-Premissas!$B$10)-Premissas!$B$11-H36-Premissas!$B$7,"")</f>
        <v>-0.279999999999999</v>
      </c>
      <c r="Q36" s="18" t="n">
        <f aca="false">IFERROR(M36*F36,"")</f>
        <v>5.11095</v>
      </c>
      <c r="R36" s="22" t="n">
        <f aca="false">IFERROR(IF(M36&gt;0,ROUNDUP(Premissas!$B$12/M36,0),"sem lucro"),"")</f>
        <v>196</v>
      </c>
      <c r="S36" s="15" t="s">
        <v>80</v>
      </c>
      <c r="T36" s="23" t="s">
        <v>74</v>
      </c>
      <c r="U36" s="15"/>
      <c r="V36" s="18" t="n">
        <f aca="false">IF(AND(T36="S",ISNUMBER(L36),ISNUMBER(F36)),L36*F36,0)</f>
        <v>0</v>
      </c>
      <c r="W36" s="18" t="n">
        <f aca="false">IF(AND(T36="S",ISNUMBER(Q36)),Q36,0)</f>
        <v>0</v>
      </c>
    </row>
    <row r="37" customFormat="false" ht="15" hidden="false" customHeight="false" outlineLevel="0" collapsed="false">
      <c r="A37" s="14" t="s">
        <v>170</v>
      </c>
      <c r="B37" s="15" t="s">
        <v>171</v>
      </c>
      <c r="C37" s="14" t="s">
        <v>172</v>
      </c>
      <c r="D37" s="14" t="s">
        <v>61</v>
      </c>
      <c r="E37" s="14" t="n">
        <v>3</v>
      </c>
      <c r="F37" s="16" t="n">
        <v>15</v>
      </c>
      <c r="G37" s="17" t="n">
        <v>49.5</v>
      </c>
      <c r="H37" s="18" t="n">
        <f aca="false">IF(ISNUMBER(G37),IFERROR(G37/F37,""),"")</f>
        <v>3.3</v>
      </c>
      <c r="I37" s="17" t="n">
        <v>7.54</v>
      </c>
      <c r="J37" s="17" t="n">
        <v>11.99</v>
      </c>
      <c r="K37" s="14" t="s">
        <v>91</v>
      </c>
      <c r="L37" s="20" t="n">
        <v>11.9</v>
      </c>
      <c r="M37" s="18" t="n">
        <f aca="false">IFERROR(L37*(1-Premissas!$B$5)*(1-Premissas!$B$6)-H37-Premissas!$B$7,"")</f>
        <v>6.89195</v>
      </c>
      <c r="N37" s="21" t="n">
        <f aca="false">IFERROR(M37/L37,"")</f>
        <v>0.579155462184874</v>
      </c>
      <c r="O37" s="18" t="n">
        <f aca="false">IFERROR(L37*(1-Premissas!$B$8)-Premissas!$B$9-H37-Premissas!$B$7,"")</f>
        <v>-0.0780000000000003</v>
      </c>
      <c r="P37" s="18" t="n">
        <f aca="false">IFERROR(L37*(1-Premissas!$B$10)-Premissas!$B$11-H37-Premissas!$B$7,"")</f>
        <v>1.22</v>
      </c>
      <c r="Q37" s="18" t="n">
        <f aca="false">IFERROR(M37*F37,"")</f>
        <v>103.37925</v>
      </c>
      <c r="R37" s="22" t="n">
        <f aca="false">IFERROR(IF(M37&gt;0,ROUNDUP(Premissas!$B$12/M37,0),"sem lucro"),"")</f>
        <v>146</v>
      </c>
      <c r="S37" s="15" t="s">
        <v>63</v>
      </c>
      <c r="T37" s="23" t="s">
        <v>64</v>
      </c>
      <c r="U37" s="15" t="s">
        <v>173</v>
      </c>
      <c r="V37" s="18" t="n">
        <f aca="false">IF(AND(T37="S",ISNUMBER(L37),ISNUMBER(F37)),L37*F37,0)</f>
        <v>178.5</v>
      </c>
      <c r="W37" s="18" t="n">
        <f aca="false">IF(AND(T37="S",ISNUMBER(Q37)),Q37,0)</f>
        <v>103.37925</v>
      </c>
    </row>
    <row r="38" customFormat="false" ht="15" hidden="false" customHeight="false" outlineLevel="0" collapsed="false">
      <c r="A38" s="14" t="s">
        <v>174</v>
      </c>
      <c r="B38" s="15" t="s">
        <v>175</v>
      </c>
      <c r="C38" s="14" t="s">
        <v>176</v>
      </c>
      <c r="D38" s="14" t="s">
        <v>155</v>
      </c>
      <c r="E38" s="14" t="n">
        <v>3</v>
      </c>
      <c r="F38" s="16" t="n">
        <v>24</v>
      </c>
      <c r="G38" s="17" t="n">
        <v>150.6</v>
      </c>
      <c r="H38" s="18" t="n">
        <f aca="false">IF(ISNUMBER(G38),IFERROR(G38/F38,""),"")</f>
        <v>6.275</v>
      </c>
      <c r="I38" s="17" t="n">
        <v>12.9</v>
      </c>
      <c r="J38" s="17" t="n">
        <v>12.9</v>
      </c>
      <c r="K38" s="19" t="s">
        <v>62</v>
      </c>
      <c r="L38" s="20" t="n">
        <v>12.9</v>
      </c>
      <c r="M38" s="18" t="n">
        <f aca="false">IFERROR(L38*(1-Premissas!$B$5)*(1-Premissas!$B$6)-H38-Premissas!$B$7,"")</f>
        <v>4.85745</v>
      </c>
      <c r="N38" s="21" t="n">
        <f aca="false">IFERROR(M38/L38,"")</f>
        <v>0.376546511627907</v>
      </c>
      <c r="O38" s="18" t="n">
        <f aca="false">IFERROR(L38*(1-Premissas!$B$8)-Premissas!$B$9-H38-Premissas!$B$7,"")</f>
        <v>-2.173</v>
      </c>
      <c r="P38" s="18" t="n">
        <f aca="false">IFERROR(L38*(1-Premissas!$B$10)-Premissas!$B$11-H38-Premissas!$B$7,"")</f>
        <v>-0.954999999999999</v>
      </c>
      <c r="Q38" s="18" t="n">
        <f aca="false">IFERROR(M38*F38,"")</f>
        <v>116.5788</v>
      </c>
      <c r="R38" s="22" t="n">
        <f aca="false">IFERROR(IF(M38&gt;0,ROUNDUP(Premissas!$B$12/M38,0),"sem lucro"),"")</f>
        <v>206</v>
      </c>
      <c r="S38" s="15" t="s">
        <v>177</v>
      </c>
      <c r="T38" s="23" t="s">
        <v>64</v>
      </c>
      <c r="U38" s="15"/>
      <c r="V38" s="18" t="n">
        <f aca="false">IF(AND(T38="S",ISNUMBER(L38),ISNUMBER(F38)),L38*F38,0)</f>
        <v>309.6</v>
      </c>
      <c r="W38" s="18" t="n">
        <f aca="false">IF(AND(T38="S",ISNUMBER(Q38)),Q38,0)</f>
        <v>116.5788</v>
      </c>
    </row>
    <row r="39" customFormat="false" ht="15" hidden="false" customHeight="false" outlineLevel="0" collapsed="false">
      <c r="A39" s="14" t="s">
        <v>178</v>
      </c>
      <c r="B39" s="15" t="s">
        <v>179</v>
      </c>
      <c r="C39" s="14" t="s">
        <v>176</v>
      </c>
      <c r="D39" s="14" t="s">
        <v>155</v>
      </c>
      <c r="E39" s="14" t="n">
        <v>3</v>
      </c>
      <c r="F39" s="16" t="n">
        <v>24</v>
      </c>
      <c r="G39" s="17" t="n">
        <v>138.2</v>
      </c>
      <c r="H39" s="18" t="n">
        <f aca="false">IF(ISNUMBER(G39),IFERROR(G39/F39,""),"")</f>
        <v>5.75833333333333</v>
      </c>
      <c r="I39" s="17" t="n">
        <v>12.9</v>
      </c>
      <c r="J39" s="17" t="n">
        <v>12.9</v>
      </c>
      <c r="K39" s="19" t="s">
        <v>62</v>
      </c>
      <c r="L39" s="20" t="n">
        <v>12.9</v>
      </c>
      <c r="M39" s="18" t="n">
        <f aca="false">IFERROR(L39*(1-Premissas!$B$5)*(1-Premissas!$B$6)-H39-Premissas!$B$7,"")</f>
        <v>5.37411666666667</v>
      </c>
      <c r="N39" s="21" t="n">
        <f aca="false">IFERROR(M39/L39,"")</f>
        <v>0.41659819121447</v>
      </c>
      <c r="O39" s="18" t="n">
        <f aca="false">IFERROR(L39*(1-Premissas!$B$8)-Premissas!$B$9-H39-Premissas!$B$7,"")</f>
        <v>-1.65633333333333</v>
      </c>
      <c r="P39" s="18" t="n">
        <f aca="false">IFERROR(L39*(1-Premissas!$B$10)-Premissas!$B$11-H39-Premissas!$B$7,"")</f>
        <v>-0.438333333333333</v>
      </c>
      <c r="Q39" s="18" t="n">
        <f aca="false">IFERROR(M39*F39,"")</f>
        <v>128.9788</v>
      </c>
      <c r="R39" s="22" t="n">
        <f aca="false">IFERROR(IF(M39&gt;0,ROUNDUP(Premissas!$B$12/M39,0),"sem lucro"),"")</f>
        <v>187</v>
      </c>
      <c r="S39" s="15" t="s">
        <v>177</v>
      </c>
      <c r="T39" s="23" t="s">
        <v>64</v>
      </c>
      <c r="U39" s="15"/>
      <c r="V39" s="18" t="n">
        <f aca="false">IF(AND(T39="S",ISNUMBER(L39),ISNUMBER(F39)),L39*F39,0)</f>
        <v>309.6</v>
      </c>
      <c r="W39" s="18" t="n">
        <f aca="false">IF(AND(T39="S",ISNUMBER(Q39)),Q39,0)</f>
        <v>128.9788</v>
      </c>
    </row>
    <row r="40" customFormat="false" ht="15" hidden="false" customHeight="false" outlineLevel="0" collapsed="false">
      <c r="A40" s="14" t="s">
        <v>180</v>
      </c>
      <c r="B40" s="15" t="s">
        <v>181</v>
      </c>
      <c r="C40" s="14" t="s">
        <v>176</v>
      </c>
      <c r="D40" s="14" t="s">
        <v>115</v>
      </c>
      <c r="E40" s="14" t="n">
        <v>3</v>
      </c>
      <c r="F40" s="16" t="n">
        <v>24</v>
      </c>
      <c r="G40" s="17" t="n">
        <v>153.6</v>
      </c>
      <c r="H40" s="18" t="n">
        <f aca="false">IF(ISNUMBER(G40),IFERROR(G40/F40,""),"")</f>
        <v>6.4</v>
      </c>
      <c r="I40" s="17" t="n">
        <v>7.52</v>
      </c>
      <c r="J40" s="17" t="n">
        <v>10</v>
      </c>
      <c r="K40" s="14" t="s">
        <v>91</v>
      </c>
      <c r="L40" s="20" t="n">
        <v>11.9</v>
      </c>
      <c r="M40" s="18" t="n">
        <f aca="false">IFERROR(L40*(1-Premissas!$B$5)*(1-Premissas!$B$6)-H40-Premissas!$B$7,"")</f>
        <v>3.79195</v>
      </c>
      <c r="N40" s="21" t="n">
        <f aca="false">IFERROR(M40/L40,"")</f>
        <v>0.318651260504202</v>
      </c>
      <c r="O40" s="18" t="n">
        <f aca="false">IFERROR(L40*(1-Premissas!$B$8)-Premissas!$B$9-H40-Premissas!$B$7,"")</f>
        <v>-3.178</v>
      </c>
      <c r="P40" s="18" t="n">
        <f aca="false">IFERROR(L40*(1-Premissas!$B$10)-Premissas!$B$11-H40-Premissas!$B$7,"")</f>
        <v>-1.88</v>
      </c>
      <c r="Q40" s="18" t="n">
        <f aca="false">IFERROR(M40*F40,"")</f>
        <v>91.0068</v>
      </c>
      <c r="R40" s="22" t="n">
        <f aca="false">IFERROR(IF(M40&gt;0,ROUNDUP(Premissas!$B$12/M40,0),"sem lucro"),"")</f>
        <v>264</v>
      </c>
      <c r="S40" s="15" t="s">
        <v>182</v>
      </c>
      <c r="T40" s="23" t="s">
        <v>74</v>
      </c>
      <c r="U40" s="15" t="s">
        <v>183</v>
      </c>
      <c r="V40" s="18" t="n">
        <f aca="false">IF(AND(T40="S",ISNUMBER(L40),ISNUMBER(F40)),L40*F40,0)</f>
        <v>0</v>
      </c>
      <c r="W40" s="18" t="n">
        <f aca="false">IF(AND(T40="S",ISNUMBER(Q40)),Q40,0)</f>
        <v>0</v>
      </c>
    </row>
    <row r="41" customFormat="false" ht="15" hidden="false" customHeight="false" outlineLevel="0" collapsed="false">
      <c r="A41" s="14" t="s">
        <v>184</v>
      </c>
      <c r="B41" s="15" t="s">
        <v>185</v>
      </c>
      <c r="C41" s="14" t="s">
        <v>176</v>
      </c>
      <c r="D41" s="14" t="s">
        <v>115</v>
      </c>
      <c r="E41" s="14" t="n">
        <v>3</v>
      </c>
      <c r="F41" s="16" t="n">
        <v>24</v>
      </c>
      <c r="G41" s="17" t="n">
        <v>153.6</v>
      </c>
      <c r="H41" s="18" t="n">
        <f aca="false">IF(ISNUMBER(G41),IFERROR(G41/F41,""),"")</f>
        <v>6.4</v>
      </c>
      <c r="I41" s="17" t="n">
        <v>7.52</v>
      </c>
      <c r="J41" s="17" t="n">
        <v>10</v>
      </c>
      <c r="K41" s="14" t="s">
        <v>91</v>
      </c>
      <c r="L41" s="20" t="n">
        <v>11.9</v>
      </c>
      <c r="M41" s="18" t="n">
        <f aca="false">IFERROR(L41*(1-Premissas!$B$5)*(1-Premissas!$B$6)-H41-Premissas!$B$7,"")</f>
        <v>3.79195</v>
      </c>
      <c r="N41" s="21" t="n">
        <f aca="false">IFERROR(M41/L41,"")</f>
        <v>0.318651260504202</v>
      </c>
      <c r="O41" s="18" t="n">
        <f aca="false">IFERROR(L41*(1-Premissas!$B$8)-Premissas!$B$9-H41-Premissas!$B$7,"")</f>
        <v>-3.178</v>
      </c>
      <c r="P41" s="18" t="n">
        <f aca="false">IFERROR(L41*(1-Premissas!$B$10)-Premissas!$B$11-H41-Premissas!$B$7,"")</f>
        <v>-1.88</v>
      </c>
      <c r="Q41" s="18" t="n">
        <f aca="false">IFERROR(M41*F41,"")</f>
        <v>91.0068</v>
      </c>
      <c r="R41" s="22" t="n">
        <f aca="false">IFERROR(IF(M41&gt;0,ROUNDUP(Premissas!$B$12/M41,0),"sem lucro"),"")</f>
        <v>264</v>
      </c>
      <c r="S41" s="15" t="s">
        <v>182</v>
      </c>
      <c r="T41" s="23" t="s">
        <v>74</v>
      </c>
      <c r="U41" s="15" t="s">
        <v>183</v>
      </c>
      <c r="V41" s="18" t="n">
        <f aca="false">IF(AND(T41="S",ISNUMBER(L41),ISNUMBER(F41)),L41*F41,0)</f>
        <v>0</v>
      </c>
      <c r="W41" s="18" t="n">
        <f aca="false">IF(AND(T41="S",ISNUMBER(Q41)),Q41,0)</f>
        <v>0</v>
      </c>
    </row>
    <row r="42" customFormat="false" ht="15" hidden="false" customHeight="false" outlineLevel="0" collapsed="false">
      <c r="A42" s="14" t="s">
        <v>186</v>
      </c>
      <c r="B42" s="15" t="s">
        <v>187</v>
      </c>
      <c r="C42" s="14" t="s">
        <v>176</v>
      </c>
      <c r="D42" s="14" t="s">
        <v>115</v>
      </c>
      <c r="E42" s="14" t="n">
        <v>3</v>
      </c>
      <c r="F42" s="16" t="n">
        <v>24</v>
      </c>
      <c r="G42" s="17" t="n">
        <v>144.4</v>
      </c>
      <c r="H42" s="18" t="n">
        <f aca="false">IF(ISNUMBER(G42),IFERROR(G42/F42,""),"")</f>
        <v>6.01666666666667</v>
      </c>
      <c r="I42" s="17" t="n">
        <v>7.52</v>
      </c>
      <c r="J42" s="17" t="n">
        <v>10</v>
      </c>
      <c r="K42" s="14" t="s">
        <v>91</v>
      </c>
      <c r="L42" s="20" t="n">
        <v>11.9</v>
      </c>
      <c r="M42" s="18" t="n">
        <f aca="false">IFERROR(L42*(1-Premissas!$B$5)*(1-Premissas!$B$6)-H42-Premissas!$B$7,"")</f>
        <v>4.17528333333333</v>
      </c>
      <c r="N42" s="21" t="n">
        <f aca="false">IFERROR(M42/L42,"")</f>
        <v>0.350864145658263</v>
      </c>
      <c r="O42" s="18" t="n">
        <f aca="false">IFERROR(L42*(1-Premissas!$B$8)-Premissas!$B$9-H42-Premissas!$B$7,"")</f>
        <v>-2.79466666666667</v>
      </c>
      <c r="P42" s="18" t="n">
        <f aca="false">IFERROR(L42*(1-Premissas!$B$10)-Premissas!$B$11-H42-Premissas!$B$7,"")</f>
        <v>-1.49666666666667</v>
      </c>
      <c r="Q42" s="18" t="n">
        <f aca="false">IFERROR(M42*F42,"")</f>
        <v>100.2068</v>
      </c>
      <c r="R42" s="22" t="n">
        <f aca="false">IFERROR(IF(M42&gt;0,ROUNDUP(Premissas!$B$12/M42,0),"sem lucro"),"")</f>
        <v>240</v>
      </c>
      <c r="S42" s="15" t="s">
        <v>182</v>
      </c>
      <c r="T42" s="23" t="s">
        <v>74</v>
      </c>
      <c r="U42" s="15"/>
      <c r="V42" s="18" t="n">
        <f aca="false">IF(AND(T42="S",ISNUMBER(L42),ISNUMBER(F42)),L42*F42,0)</f>
        <v>0</v>
      </c>
      <c r="W42" s="18" t="n">
        <f aca="false">IF(AND(T42="S",ISNUMBER(Q42)),Q42,0)</f>
        <v>0</v>
      </c>
    </row>
    <row r="43" customFormat="false" ht="15" hidden="false" customHeight="false" outlineLevel="0" collapsed="false">
      <c r="A43" s="14" t="s">
        <v>188</v>
      </c>
      <c r="B43" s="15" t="s">
        <v>189</v>
      </c>
      <c r="C43" s="14" t="s">
        <v>176</v>
      </c>
      <c r="D43" s="14" t="s">
        <v>115</v>
      </c>
      <c r="E43" s="14" t="n">
        <v>3</v>
      </c>
      <c r="F43" s="16" t="n">
        <v>24</v>
      </c>
      <c r="G43" s="17" t="n">
        <v>138.2</v>
      </c>
      <c r="H43" s="18" t="n">
        <f aca="false">IF(ISNUMBER(G43),IFERROR(G43/F43,""),"")</f>
        <v>5.75833333333333</v>
      </c>
      <c r="I43" s="17" t="n">
        <v>7.52</v>
      </c>
      <c r="J43" s="17" t="n">
        <v>10</v>
      </c>
      <c r="K43" s="14" t="s">
        <v>91</v>
      </c>
      <c r="L43" s="20" t="n">
        <v>11.9</v>
      </c>
      <c r="M43" s="18" t="n">
        <f aca="false">IFERROR(L43*(1-Premissas!$B$5)*(1-Premissas!$B$6)-H43-Premissas!$B$7,"")</f>
        <v>4.43361666666667</v>
      </c>
      <c r="N43" s="21" t="n">
        <f aca="false">IFERROR(M43/L43,"")</f>
        <v>0.372572829131653</v>
      </c>
      <c r="O43" s="18" t="n">
        <f aca="false">IFERROR(L43*(1-Premissas!$B$8)-Premissas!$B$9-H43-Premissas!$B$7,"")</f>
        <v>-2.53633333333333</v>
      </c>
      <c r="P43" s="18" t="n">
        <f aca="false">IFERROR(L43*(1-Premissas!$B$10)-Premissas!$B$11-H43-Premissas!$B$7,"")</f>
        <v>-1.23833333333333</v>
      </c>
      <c r="Q43" s="18" t="n">
        <f aca="false">IFERROR(M43*F43,"")</f>
        <v>106.4068</v>
      </c>
      <c r="R43" s="22" t="n">
        <f aca="false">IFERROR(IF(M43&gt;0,ROUNDUP(Premissas!$B$12/M43,0),"sem lucro"),"")</f>
        <v>226</v>
      </c>
      <c r="S43" s="15" t="s">
        <v>161</v>
      </c>
      <c r="T43" s="23" t="s">
        <v>64</v>
      </c>
      <c r="U43" s="15" t="s">
        <v>190</v>
      </c>
      <c r="V43" s="18" t="n">
        <f aca="false">IF(AND(T43="S",ISNUMBER(L43),ISNUMBER(F43)),L43*F43,0)</f>
        <v>285.6</v>
      </c>
      <c r="W43" s="18" t="n">
        <f aca="false">IF(AND(T43="S",ISNUMBER(Q43)),Q43,0)</f>
        <v>106.4068</v>
      </c>
    </row>
    <row r="44" customFormat="false" ht="15" hidden="false" customHeight="false" outlineLevel="0" collapsed="false">
      <c r="A44" s="14" t="s">
        <v>191</v>
      </c>
      <c r="B44" s="15" t="s">
        <v>192</v>
      </c>
      <c r="C44" s="14" t="s">
        <v>193</v>
      </c>
      <c r="D44" s="14" t="s">
        <v>115</v>
      </c>
      <c r="E44" s="14" t="n">
        <v>3</v>
      </c>
      <c r="F44" s="16" t="n">
        <v>24</v>
      </c>
      <c r="G44" s="17" t="n">
        <v>166.3</v>
      </c>
      <c r="H44" s="18" t="n">
        <f aca="false">IF(ISNUMBER(G44),IFERROR(G44/F44,""),"")</f>
        <v>6.92916666666667</v>
      </c>
      <c r="I44" s="17" t="n">
        <v>12.9</v>
      </c>
      <c r="J44" s="17" t="n">
        <v>12.9</v>
      </c>
      <c r="K44" s="19" t="s">
        <v>62</v>
      </c>
      <c r="L44" s="20" t="n">
        <v>12.9</v>
      </c>
      <c r="M44" s="18" t="n">
        <f aca="false">IFERROR(L44*(1-Premissas!$B$5)*(1-Premissas!$B$6)-H44-Premissas!$B$7,"")</f>
        <v>4.20328333333333</v>
      </c>
      <c r="N44" s="21" t="n">
        <f aca="false">IFERROR(M44/L44,"")</f>
        <v>0.325835917312661</v>
      </c>
      <c r="O44" s="18" t="n">
        <f aca="false">IFERROR(L44*(1-Premissas!$B$8)-Premissas!$B$9-H44-Premissas!$B$7,"")</f>
        <v>-2.82716666666667</v>
      </c>
      <c r="P44" s="18" t="n">
        <f aca="false">IFERROR(L44*(1-Premissas!$B$10)-Premissas!$B$11-H44-Premissas!$B$7,"")</f>
        <v>-1.60916666666667</v>
      </c>
      <c r="Q44" s="18" t="n">
        <f aca="false">IFERROR(M44*F44,"")</f>
        <v>100.8788</v>
      </c>
      <c r="R44" s="22" t="n">
        <f aca="false">IFERROR(IF(M44&gt;0,ROUNDUP(Premissas!$B$12/M44,0),"sem lucro"),"")</f>
        <v>238</v>
      </c>
      <c r="S44" s="15" t="s">
        <v>118</v>
      </c>
      <c r="T44" s="23" t="s">
        <v>74</v>
      </c>
      <c r="U44" s="15"/>
      <c r="V44" s="18" t="n">
        <f aca="false">IF(AND(T44="S",ISNUMBER(L44),ISNUMBER(F44)),L44*F44,0)</f>
        <v>0</v>
      </c>
      <c r="W44" s="18" t="n">
        <f aca="false">IF(AND(T44="S",ISNUMBER(Q44)),Q44,0)</f>
        <v>0</v>
      </c>
    </row>
    <row r="45" customFormat="false" ht="15" hidden="false" customHeight="false" outlineLevel="0" collapsed="false">
      <c r="A45" s="14" t="s">
        <v>194</v>
      </c>
      <c r="B45" s="15" t="s">
        <v>195</v>
      </c>
      <c r="C45" s="14" t="s">
        <v>196</v>
      </c>
      <c r="D45" s="14" t="s">
        <v>139</v>
      </c>
      <c r="E45" s="14" t="n">
        <v>3</v>
      </c>
      <c r="F45" s="16" t="n">
        <v>1</v>
      </c>
      <c r="G45" s="17" t="n">
        <v>5.7</v>
      </c>
      <c r="H45" s="18" t="n">
        <f aca="false">IF(ISNUMBER(G45),IFERROR(G45/F45,""),"")</f>
        <v>5.7</v>
      </c>
      <c r="I45" s="17" t="n">
        <v>14.9</v>
      </c>
      <c r="J45" s="17" t="n">
        <v>14.9</v>
      </c>
      <c r="K45" s="19" t="s">
        <v>62</v>
      </c>
      <c r="L45" s="20" t="n">
        <v>14.9</v>
      </c>
      <c r="M45" s="18" t="n">
        <f aca="false">IFERROR(L45*(1-Premissas!$B$5)*(1-Premissas!$B$6)-H45-Premissas!$B$7,"")</f>
        <v>7.31345</v>
      </c>
      <c r="N45" s="21" t="n">
        <f aca="false">IFERROR(M45/L45,"")</f>
        <v>0.490835570469799</v>
      </c>
      <c r="O45" s="18" t="n">
        <f aca="false">IFERROR(L45*(1-Premissas!$B$8)-Premissas!$B$9-H45-Premissas!$B$7,"")</f>
        <v>0.162</v>
      </c>
      <c r="P45" s="18" t="n">
        <f aca="false">IFERROR(L45*(1-Premissas!$B$10)-Premissas!$B$11-H45-Premissas!$B$7,"")</f>
        <v>1.22</v>
      </c>
      <c r="Q45" s="18" t="n">
        <f aca="false">IFERROR(M45*F45,"")</f>
        <v>7.31345</v>
      </c>
      <c r="R45" s="22" t="n">
        <f aca="false">IFERROR(IF(M45&gt;0,ROUNDUP(Premissas!$B$12/M45,0),"sem lucro"),"")</f>
        <v>137</v>
      </c>
      <c r="S45" s="15" t="s">
        <v>63</v>
      </c>
      <c r="T45" s="23" t="s">
        <v>64</v>
      </c>
      <c r="U45" s="15"/>
      <c r="V45" s="18" t="n">
        <f aca="false">IF(AND(T45="S",ISNUMBER(L45),ISNUMBER(F45)),L45*F45,0)</f>
        <v>14.9</v>
      </c>
      <c r="W45" s="18" t="n">
        <f aca="false">IF(AND(T45="S",ISNUMBER(Q45)),Q45,0)</f>
        <v>7.31345</v>
      </c>
    </row>
  </sheetData>
  <autoFilter ref="A1:W45"/>
  <conditionalFormatting sqref="M2:M45">
    <cfRule type="cellIs" priority="2" operator="lessThan" aboveAverage="0" equalAverage="0" bottom="0" percent="0" rank="0" text="" dxfId="36">
      <formula>0</formula>
    </cfRule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O2:O45">
    <cfRule type="cellIs" priority="4" operator="lessThan" aboveAverage="0" equalAverage="0" bottom="0" percent="0" rank="0" text="" dxfId="36">
      <formula>0</formula>
    </cfRule>
  </conditionalFormatting>
  <conditionalFormatting sqref="P2:P45">
    <cfRule type="cellIs" priority="5" operator="lessThan" aboveAverage="0" equalAverage="0" bottom="0" percent="0" rank="0" text="" dxfId="36">
      <formula>0</formula>
    </cfRule>
  </conditionalFormatting>
  <dataValidations count="1">
    <dataValidation allowBlank="true" errorStyle="stop" operator="between" showDropDown="false" showErrorMessage="false" showInputMessage="false" sqref="T2:T45" type="list">
      <formula1>"S,N"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3"/>
  </cols>
  <sheetData>
    <row r="1" customFormat="false" ht="36" hidden="false" customHeight="true" outlineLevel="0" collapsed="false">
      <c r="A1" s="13" t="s">
        <v>197</v>
      </c>
      <c r="B1" s="13" t="s">
        <v>198</v>
      </c>
      <c r="C1" s="13" t="s">
        <v>199</v>
      </c>
      <c r="D1" s="13" t="s">
        <v>200</v>
      </c>
      <c r="E1" s="13" t="s">
        <v>201</v>
      </c>
      <c r="F1" s="13" t="s">
        <v>202</v>
      </c>
      <c r="G1" s="13" t="s">
        <v>203</v>
      </c>
      <c r="H1" s="13" t="s">
        <v>204</v>
      </c>
      <c r="I1" s="13" t="s">
        <v>205</v>
      </c>
      <c r="J1" s="13" t="s">
        <v>206</v>
      </c>
      <c r="K1" s="13" t="s">
        <v>207</v>
      </c>
      <c r="L1" s="13" t="s">
        <v>208</v>
      </c>
    </row>
    <row r="2" customFormat="false" ht="15" hidden="false" customHeight="false" outlineLevel="0" collapsed="false">
      <c r="A2" s="24" t="s">
        <v>209</v>
      </c>
      <c r="B2" s="25" t="s">
        <v>129</v>
      </c>
      <c r="C2" s="25" t="s">
        <v>135</v>
      </c>
      <c r="D2" s="25" t="s">
        <v>133</v>
      </c>
      <c r="E2" s="26"/>
      <c r="F2" s="26"/>
      <c r="G2" s="27" t="n">
        <f aca="false">IFERROR(INDEX(Produtos!$H$2:$H$45,MATCH(B2,Produtos!$A$2:$A$45,0)),0)+IFERROR(INDEX(Produtos!$H$2:$H$45,MATCH(C2,Produtos!$A$2:$A$45,0)),0)+IFERROR(INDEX(Produtos!$H$2:$H$45,MATCH(D2,Produtos!$A$2:$A$45,0)),0)+IFERROR(INDEX(Produtos!$H$2:$H$45,MATCH(E2,Produtos!$A$2:$A$45,0)),0)+IFERROR(INDEX(Produtos!$H$2:$H$45,MATCH(F2,Produtos!$A$2:$A$45,0)),0)</f>
        <v>18.9</v>
      </c>
      <c r="H2" s="28" t="n">
        <v>49.9</v>
      </c>
      <c r="I2" s="27" t="n">
        <f aca="false">H2*(1-Premissas!$B$5)*(1-Premissas!$B$6)-G2-Premissas!$B$7</f>
        <v>27.03095</v>
      </c>
      <c r="J2" s="27" t="n">
        <f aca="false">H2*(1-Premissas!$B$8)-Premissas!$B$9-G2-Premissas!$B$7</f>
        <v>17.762</v>
      </c>
      <c r="K2" s="27" t="n">
        <f aca="false">H2*(1-Premissas!$B$10)-Premissas!$B$11-G2-Premissas!$B$7</f>
        <v>16.02</v>
      </c>
      <c r="L2" s="29" t="n">
        <f aca="false">IF(I2&gt;0,ROUNDUP(Premissas!$B$12/I2,0),"sem lucro")</f>
        <v>37</v>
      </c>
    </row>
    <row r="3" customFormat="false" ht="15" hidden="false" customHeight="false" outlineLevel="0" collapsed="false">
      <c r="A3" s="24" t="s">
        <v>210</v>
      </c>
      <c r="B3" s="25" t="s">
        <v>66</v>
      </c>
      <c r="C3" s="25" t="s">
        <v>81</v>
      </c>
      <c r="D3" s="25" t="s">
        <v>83</v>
      </c>
      <c r="E3" s="25" t="s">
        <v>170</v>
      </c>
      <c r="F3" s="26"/>
      <c r="G3" s="27" t="n">
        <f aca="false">IFERROR(INDEX(Produtos!$H$2:$H$45,MATCH(B3,Produtos!$A$2:$A$45,0)),0)+IFERROR(INDEX(Produtos!$H$2:$H$45,MATCH(C3,Produtos!$A$2:$A$45,0)),0)+IFERROR(INDEX(Produtos!$H$2:$H$45,MATCH(D3,Produtos!$A$2:$A$45,0)),0)+IFERROR(INDEX(Produtos!$H$2:$H$45,MATCH(E3,Produtos!$A$2:$A$45,0)),0)+IFERROR(INDEX(Produtos!$H$2:$H$45,MATCH(F3,Produtos!$A$2:$A$45,0)),0)</f>
        <v>23.5958333333333</v>
      </c>
      <c r="H3" s="28" t="n">
        <v>49.9</v>
      </c>
      <c r="I3" s="27" t="n">
        <f aca="false">H3*(1-Premissas!$B$5)*(1-Premissas!$B$6)-G3-Premissas!$B$7</f>
        <v>22.3351166666667</v>
      </c>
      <c r="J3" s="27" t="n">
        <f aca="false">H3*(1-Premissas!$B$8)-Premissas!$B$9-G3-Premissas!$B$7</f>
        <v>13.0661666666667</v>
      </c>
      <c r="K3" s="27" t="n">
        <f aca="false">H3*(1-Premissas!$B$10)-Premissas!$B$11-G3-Premissas!$B$7</f>
        <v>11.3241666666667</v>
      </c>
      <c r="L3" s="29" t="n">
        <f aca="false">IF(I3&gt;0,ROUNDUP(Premissas!$B$12/I3,0),"sem lucro")</f>
        <v>45</v>
      </c>
    </row>
    <row r="4" customFormat="false" ht="15" hidden="false" customHeight="false" outlineLevel="0" collapsed="false">
      <c r="A4" s="24" t="s">
        <v>211</v>
      </c>
      <c r="B4" s="25" t="s">
        <v>88</v>
      </c>
      <c r="C4" s="25" t="s">
        <v>92</v>
      </c>
      <c r="D4" s="25" t="s">
        <v>96</v>
      </c>
      <c r="E4" s="26"/>
      <c r="F4" s="26"/>
      <c r="G4" s="27" t="n">
        <f aca="false">IFERROR(INDEX(Produtos!$H$2:$H$45,MATCH(B4,Produtos!$A$2:$A$45,0)),0)+IFERROR(INDEX(Produtos!$H$2:$H$45,MATCH(C4,Produtos!$A$2:$A$45,0)),0)+IFERROR(INDEX(Produtos!$H$2:$H$45,MATCH(D4,Produtos!$A$2:$A$45,0)),0)+IFERROR(INDEX(Produtos!$H$2:$H$45,MATCH(E4,Produtos!$A$2:$A$45,0)),0)+IFERROR(INDEX(Produtos!$H$2:$H$45,MATCH(F4,Produtos!$A$2:$A$45,0)),0)</f>
        <v>17.1</v>
      </c>
      <c r="H4" s="28" t="n">
        <v>39.9</v>
      </c>
      <c r="I4" s="27" t="n">
        <f aca="false">H4*(1-Premissas!$B$5)*(1-Premissas!$B$6)-G4-Premissas!$B$7</f>
        <v>19.42595</v>
      </c>
      <c r="J4" s="27" t="n">
        <f aca="false">H4*(1-Premissas!$B$8)-Premissas!$B$9-G4-Premissas!$B$7</f>
        <v>10.762</v>
      </c>
      <c r="K4" s="27" t="n">
        <f aca="false">H4*(1-Premissas!$B$10)-Premissas!$B$11-G4-Premissas!$B$7</f>
        <v>9.82</v>
      </c>
      <c r="L4" s="29" t="n">
        <f aca="false">IF(I4&gt;0,ROUNDUP(Premissas!$B$12/I4,0),"sem lucro")</f>
        <v>52</v>
      </c>
    </row>
    <row r="5" customFormat="false" ht="15" hidden="false" customHeight="false" outlineLevel="0" collapsed="false">
      <c r="A5" s="24" t="s">
        <v>212</v>
      </c>
      <c r="B5" s="25" t="s">
        <v>125</v>
      </c>
      <c r="C5" s="25" t="s">
        <v>125</v>
      </c>
      <c r="D5" s="25" t="s">
        <v>125</v>
      </c>
      <c r="E5" s="25" t="s">
        <v>121</v>
      </c>
      <c r="F5" s="25" t="s">
        <v>152</v>
      </c>
      <c r="G5" s="27" t="n">
        <f aca="false">IFERROR(INDEX(Produtos!$H$2:$H$45,MATCH(B5,Produtos!$A$2:$A$45,0)),0)+IFERROR(INDEX(Produtos!$H$2:$H$45,MATCH(C5,Produtos!$A$2:$A$45,0)),0)+IFERROR(INDEX(Produtos!$H$2:$H$45,MATCH(D5,Produtos!$A$2:$A$45,0)),0)+IFERROR(INDEX(Produtos!$H$2:$H$45,MATCH(E5,Produtos!$A$2:$A$45,0)),0)+IFERROR(INDEX(Produtos!$H$2:$H$45,MATCH(F5,Produtos!$A$2:$A$45,0)),0)</f>
        <v>22.64</v>
      </c>
      <c r="H5" s="28" t="n">
        <v>44.9</v>
      </c>
      <c r="I5" s="27" t="n">
        <f aca="false">H5*(1-Premissas!$B$5)*(1-Premissas!$B$6)-G5-Premissas!$B$7</f>
        <v>18.58845</v>
      </c>
      <c r="J5" s="27" t="n">
        <f aca="false">H5*(1-Premissas!$B$8)-Premissas!$B$9-G5-Premissas!$B$7</f>
        <v>9.622</v>
      </c>
      <c r="K5" s="27" t="n">
        <f aca="false">H5*(1-Premissas!$B$10)-Premissas!$B$11-G5-Premissas!$B$7</f>
        <v>8.28</v>
      </c>
      <c r="L5" s="29" t="n">
        <f aca="false">IF(I5&gt;0,ROUNDUP(Premissas!$B$12/I5,0),"sem lucro")</f>
        <v>54</v>
      </c>
    </row>
    <row r="6" customFormat="false" ht="15" hidden="false" customHeight="false" outlineLevel="0" collapsed="false">
      <c r="A6" s="24" t="s">
        <v>213</v>
      </c>
      <c r="B6" s="25" t="s">
        <v>174</v>
      </c>
      <c r="C6" s="25" t="s">
        <v>178</v>
      </c>
      <c r="D6" s="25" t="s">
        <v>152</v>
      </c>
      <c r="E6" s="26"/>
      <c r="F6" s="26"/>
      <c r="G6" s="27" t="n">
        <f aca="false">IFERROR(INDEX(Produtos!$H$2:$H$45,MATCH(B6,Produtos!$A$2:$A$45,0)),0)+IFERROR(INDEX(Produtos!$H$2:$H$45,MATCH(C6,Produtos!$A$2:$A$45,0)),0)+IFERROR(INDEX(Produtos!$H$2:$H$45,MATCH(D6,Produtos!$A$2:$A$45,0)),0)+IFERROR(INDEX(Produtos!$H$2:$H$45,MATCH(E6,Produtos!$A$2:$A$45,0)),0)+IFERROR(INDEX(Produtos!$H$2:$H$45,MATCH(F6,Produtos!$A$2:$A$45,0)),0)</f>
        <v>16.65</v>
      </c>
      <c r="H6" s="28" t="n">
        <v>34.9</v>
      </c>
      <c r="I6" s="27" t="n">
        <f aca="false">H6*(1-Premissas!$B$5)*(1-Premissas!$B$6)-G6-Premissas!$B$7</f>
        <v>15.17345</v>
      </c>
      <c r="J6" s="27" t="n">
        <f aca="false">H6*(1-Premissas!$B$8)-Premissas!$B$9-G6-Premissas!$B$7</f>
        <v>6.812</v>
      </c>
      <c r="K6" s="27" t="n">
        <f aca="false">H6*(1-Premissas!$B$10)-Premissas!$B$11-G6-Premissas!$B$7</f>
        <v>6.27</v>
      </c>
      <c r="L6" s="29" t="n">
        <f aca="false">IF(I6&gt;0,ROUNDUP(Premissas!$B$12/I6,0),"sem lucro")</f>
        <v>66</v>
      </c>
    </row>
    <row r="7" customFormat="false" ht="15" hidden="false" customHeight="false" outlineLevel="0" collapsed="false">
      <c r="A7" s="24" t="s">
        <v>214</v>
      </c>
      <c r="B7" s="25" t="s">
        <v>144</v>
      </c>
      <c r="C7" s="25" t="s">
        <v>147</v>
      </c>
      <c r="D7" s="25" t="s">
        <v>141</v>
      </c>
      <c r="E7" s="26"/>
      <c r="F7" s="26"/>
      <c r="G7" s="27" t="n">
        <f aca="false">IFERROR(INDEX(Produtos!$H$2:$H$45,MATCH(B7,Produtos!$A$2:$A$45,0)),0)+IFERROR(INDEX(Produtos!$H$2:$H$45,MATCH(C7,Produtos!$A$2:$A$45,0)),0)+IFERROR(INDEX(Produtos!$H$2:$H$45,MATCH(D7,Produtos!$A$2:$A$45,0)),0)+IFERROR(INDEX(Produtos!$H$2:$H$45,MATCH(E7,Produtos!$A$2:$A$45,0)),0)+IFERROR(INDEX(Produtos!$H$2:$H$45,MATCH(F7,Produtos!$A$2:$A$45,0)),0)</f>
        <v>17.0166666666667</v>
      </c>
      <c r="H7" s="28" t="n">
        <v>34.9</v>
      </c>
      <c r="I7" s="27" t="n">
        <f aca="false">H7*(1-Premissas!$B$5)*(1-Premissas!$B$6)-G7-Premissas!$B$7</f>
        <v>14.8067833333333</v>
      </c>
      <c r="J7" s="27" t="n">
        <f aca="false">H7*(1-Premissas!$B$8)-Premissas!$B$9-G7-Premissas!$B$7</f>
        <v>6.44533333333333</v>
      </c>
      <c r="K7" s="27" t="n">
        <f aca="false">H7*(1-Premissas!$B$10)-Premissas!$B$11-G7-Premissas!$B$7</f>
        <v>5.90333333333334</v>
      </c>
      <c r="L7" s="29" t="n">
        <f aca="false">IF(I7&gt;0,ROUNDUP(Premissas!$B$12/I7,0),"sem lucro")</f>
        <v>68</v>
      </c>
    </row>
    <row r="9" customFormat="false" ht="15" hidden="false" customHeight="false" outlineLevel="0" collapsed="false">
      <c r="A9" s="2" t="s">
        <v>215</v>
      </c>
    </row>
  </sheetData>
  <conditionalFormatting sqref="I2:K7">
    <cfRule type="colorScale" priority="2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2026-09-24T18:13:26Z</dcterms:created>
  <dc:creator>openpyxl</dc:creator>
  <dc:description/>
  <dc:language>en-US</dc:language>
  <cp:lastModifiedBy/>
  <dcterms:modified xsi:type="dcterms:W3CDTF">2026-09-24T18:13:26Z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